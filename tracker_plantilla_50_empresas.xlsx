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ómo usar" sheetId="1" state="visible" r:id="rId1"/>
    <sheet xmlns:r="http://schemas.openxmlformats.org/officeDocument/2006/relationships" name="Empresas" sheetId="2" state="visible" r:id="rId2"/>
    <sheet xmlns:r="http://schemas.openxmlformats.org/officeDocument/2006/relationships" name="Feriados" sheetId="3" state="visible" r:id="rId3"/>
  </sheets>
  <definedNames>
    <definedName name="_xlnm._FilterDatabase" localSheetId="1" hidden="1">'Empresas'!$A$1:$U$51</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10"/>
    </font>
    <font>
      <name val="Arial"/>
      <charset val="1"/>
      <family val="0"/>
      <b val="1"/>
      <color rgb="FFFFFFFF"/>
      <sz val="10"/>
    </font>
    <font>
      <name val="Arial"/>
      <charset val="1"/>
      <family val="0"/>
      <color rgb="FF0563C1"/>
      <sz val="10"/>
      <u val="single"/>
    </font>
    <font>
      <name val="Arial"/>
      <charset val="1"/>
      <family val="0"/>
      <color rgb="FF0000FF"/>
      <sz val="10"/>
    </font>
    <font>
      <name val="Arial"/>
      <charset val="1"/>
      <family val="0"/>
      <b val="1"/>
      <sz val="11"/>
    </font>
    <font>
      <name val="Arial"/>
      <charset val="1"/>
      <family val="0"/>
      <i val="1"/>
      <sz val="9"/>
    </font>
  </fonts>
  <fills count="4">
    <fill>
      <patternFill/>
    </fill>
    <fill>
      <patternFill patternType="gray125"/>
    </fill>
    <fill>
      <patternFill patternType="solid">
        <fgColor rgb="FF1F3A5F"/>
        <bgColor rgb="FF333333"/>
      </patternFill>
    </fill>
    <fill>
      <patternFill patternType="solid">
        <fgColor rgb="FFFFF2CC"/>
        <bgColor rgb="FFFFE8B3"/>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1" applyAlignment="1" pivotButton="0" quotePrefix="0" xfId="0">
      <alignment horizontal="center" vertical="center" wrapText="1"/>
    </xf>
    <xf numFmtId="0" fontId="0" fillId="0" borderId="1" applyAlignment="1" pivotButton="0" quotePrefix="0" xfId="0">
      <alignment horizontal="general" vertical="top" wrapText="1"/>
    </xf>
    <xf numFmtId="0" fontId="5" fillId="0" borderId="1" applyAlignment="1" pivotButton="0" quotePrefix="0" xfId="0">
      <alignment horizontal="general" vertical="top" wrapText="1"/>
    </xf>
    <xf numFmtId="0" fontId="7" fillId="0" borderId="1" applyAlignment="1" pivotButton="0" quotePrefix="0" xfId="0">
      <alignment horizontal="general" vertical="top" wrapText="1"/>
    </xf>
    <xf numFmtId="164" fontId="8" fillId="3" borderId="1" applyAlignment="1" pivotButton="0" quotePrefix="0" xfId="0">
      <alignment horizontal="general" vertical="top" wrapText="1"/>
    </xf>
    <xf numFmtId="164" fontId="5" fillId="0" borderId="1" applyAlignment="1" pivotButton="0" quotePrefix="0" xfId="0">
      <alignment horizontal="general" vertical="top" wrapText="1"/>
    </xf>
    <xf numFmtId="0" fontId="8" fillId="3" borderId="1" applyAlignment="1" pivotButton="0" quotePrefix="0" xfId="0">
      <alignment horizontal="general" vertical="top" wrapText="1"/>
    </xf>
    <xf numFmtId="0" fontId="9"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10" fillId="0" borderId="0" applyAlignment="1" pivotButton="0" quotePrefix="0" xfId="0">
      <alignment horizontal="general" vertical="bottom"/>
    </xf>
    <xf numFmtId="164" fontId="8"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1" applyAlignment="1" pivotButton="0" quotePrefix="0" xfId="0">
      <alignment horizontal="center" vertical="center" wrapText="1"/>
    </xf>
    <xf numFmtId="0" fontId="0" fillId="0" borderId="1" applyAlignment="1" pivotButton="0" quotePrefix="0" xfId="0">
      <alignment horizontal="general" vertical="top" wrapText="1"/>
    </xf>
    <xf numFmtId="0" fontId="5" fillId="0" borderId="1" applyAlignment="1" pivotButton="0" quotePrefix="0" xfId="0">
      <alignment horizontal="general" vertical="top" wrapText="1"/>
    </xf>
    <xf numFmtId="0" fontId="7" fillId="0" borderId="1" applyAlignment="1" pivotButton="0" quotePrefix="0" xfId="0">
      <alignment horizontal="general" vertical="top" wrapText="1"/>
    </xf>
    <xf numFmtId="164" fontId="8" fillId="3" borderId="1" applyAlignment="1" pivotButton="0" quotePrefix="0" xfId="0">
      <alignment horizontal="general" vertical="top" wrapText="1"/>
    </xf>
    <xf numFmtId="164" fontId="5" fillId="0" borderId="1" applyAlignment="1" pivotButton="0" quotePrefix="0" xfId="0">
      <alignment horizontal="general" vertical="top" wrapText="1"/>
    </xf>
    <xf numFmtId="0" fontId="8" fillId="3" borderId="1" applyAlignment="1" pivotButton="0" quotePrefix="0" xfId="0">
      <alignment horizontal="general" vertical="top" wrapText="1"/>
    </xf>
    <xf numFmtId="0" fontId="9"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10" fillId="0" borderId="0" applyAlignment="1" pivotButton="0" quotePrefix="0" xfId="0">
      <alignment horizontal="general" vertical="bottom"/>
    </xf>
    <xf numFmtId="164" fontId="8" fillId="0" borderId="0" applyAlignment="1" pivotButton="0" quotePrefix="0" xfId="0">
      <alignment horizontal="general" vertical="bottom"/>
    </xf>
    <xf numFmtId="0" fontId="8"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A5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FFE8B3"/>
          <bgColor rgb="FF000000"/>
        </patternFill>
      </fill>
    </dxf>
    <dxf>
      <fill>
        <patternFill patternType="solid">
          <fgColor rgb="FFFFF2CC"/>
          <bgColor rgb="FF000000"/>
        </patternFill>
      </fill>
    </dxf>
    <dxf>
      <fill>
        <patternFill patternType="solid">
          <fgColor rgb="FF0000FF"/>
          <bgColor rgb="FF000000"/>
        </patternFill>
      </fill>
    </dxf>
    <dxf>
      <fill>
        <patternFill>
          <bgColor rgb="FFF8D7DA"/>
        </patternFill>
      </fill>
    </dxf>
    <dxf>
      <fill>
        <patternFill>
          <bgColor rgb="FFFFE8B3"/>
        </patternFill>
      </fill>
    </dxf>
    <dxf>
      <fill>
        <patternFill>
          <bgColor rgb="FFD4ED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563C1"/>
      <rgbColor rgb="FFD0D0D0"/>
      <rgbColor rgb="FF000080"/>
      <rgbColor rgb="FFFF00FF"/>
      <rgbColor rgb="FFFFFF00"/>
      <rgbColor rgb="FF00FFFF"/>
      <rgbColor rgb="FF800080"/>
      <rgbColor rgb="FF800000"/>
      <rgbColor rgb="FF008080"/>
      <rgbColor rgb="FF0000FF"/>
      <rgbColor rgb="FF00CCFF"/>
      <rgbColor rgb="FFCCFFFF"/>
      <rgbColor rgb="FFD4EDDA"/>
      <rgbColor rgb="FFFFE8B3"/>
      <rgbColor rgb="FF99CCFF"/>
      <rgbColor rgb="FFFF99CC"/>
      <rgbColor rgb="FFCC99FF"/>
      <rgbColor rgb="FFF8D7DA"/>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https://denuncias.americamovil.com/" TargetMode="External" Id="rId1"/><Relationship Type="http://schemas.openxmlformats.org/officeDocument/2006/relationships/hyperlink" Target="https://www.clarochile.cl/portal/cl/recursos_contenido/pdf/1738265380882-politica-de-proteccion-de-datos-personalesclarovtr-2025.pdf" TargetMode="External" Id="rId2"/><Relationship Type="http://schemas.openxmlformats.org/officeDocument/2006/relationships/hyperlink" Target="https://denuncias.americamovil.com/" TargetMode="External" Id="rId3"/><Relationship Type="http://schemas.openxmlformats.org/officeDocument/2006/relationships/hyperlink" Target="https://www.clarochile.cl/portal/cl/recursos_contenido/pdf/1738265380882-politica-de-proteccion-de-datos-personalesclarovtr-2025.pdf" TargetMode="External" Id="rId4"/><Relationship Type="http://schemas.openxmlformats.org/officeDocument/2006/relationships/hyperlink" Target="https://legalmovistar.mvch.cl/" TargetMode="External" Id="rId5"/><Relationship Type="http://schemas.openxmlformats.org/officeDocument/2006/relationships/hyperlink" Target="https://ww2.movistar.cl/centro-de-transparencia/derechos.html" TargetMode="External" Id="rId6"/><Relationship Type="http://schemas.openxmlformats.org/officeDocument/2006/relationships/hyperlink" Target="https://entelconviene.entel.cl/media/entelconviene/terminosCondiciones/Politica-Privacidad-Clientes-Nov-2022.pdf" TargetMode="External" Id="rId7"/><Relationship Type="http://schemas.openxmlformats.org/officeDocument/2006/relationships/hyperlink" Target="https://www.wom.cl/politica-privacidad/" TargetMode="External" Id="rId8"/><Relationship Type="http://schemas.openxmlformats.org/officeDocument/2006/relationships/hyperlink" Target="https://www.tumundo.cl/wp-content/uploads/2025/06/FORMULARIO-EJERCICIO-DERECHOS-DATOS-PERSONALES.pdf" TargetMode="External" Id="rId9"/><Relationship Type="http://schemas.openxmlformats.org/officeDocument/2006/relationships/hyperlink" Target="https://www.tumundo.cl/wp-content/uploads/2025/06/Politica-de-privacidad-.pdf" TargetMode="External" Id="rId10"/><Relationship Type="http://schemas.openxmlformats.org/officeDocument/2006/relationships/hyperlink" Target="https://www.directvla.com/cl/politicas-de-privacidad" TargetMode="External" Id="rId11"/><Relationship Type="http://schemas.openxmlformats.org/officeDocument/2006/relationships/hyperlink" Target="https://www.gtd.cl/politica-de-privacidad-y-proteccion-de-datos-personales-2026" TargetMode="External" Id="rId12"/><Relationship Type="http://schemas.openxmlformats.org/officeDocument/2006/relationships/hyperlink" Target="https://www.rappi.cl/account/profile" TargetMode="External" Id="rId13"/><Relationship Type="http://schemas.openxmlformats.org/officeDocument/2006/relationships/hyperlink" Target="https://legal.rappi.com/chile/politica-de-privacidad/" TargetMode="External" Id="rId14"/><Relationship Type="http://schemas.openxmlformats.org/officeDocument/2006/relationships/hyperlink" Target="https://www.mercadopago.cl/privacidad/declaracion-privacidad/31199" TargetMode="External" Id="rId15"/><Relationship Type="http://schemas.openxmlformats.org/officeDocument/2006/relationships/hyperlink" Target="https://sitiospublicos.bancochile.cl/personas/politica-de-privacidad" TargetMode="External" Id="rId16"/><Relationship Type="http://schemas.openxmlformats.org/officeDocument/2006/relationships/hyperlink" Target="https://www.bancoestado.cl/content/dam/bancoestado-public/pdf/contratos-productos/cuentas/Cuenta_Corriente_Digital.pdf" TargetMode="External" Id="rId17"/><Relationship Type="http://schemas.openxmlformats.org/officeDocument/2006/relationships/hyperlink" Target="https://banco.santander.cl/personas/politica-de-privacidad-portal-santander" TargetMode="External" Id="rId18"/><Relationship Type="http://schemas.openxmlformats.org/officeDocument/2006/relationships/hyperlink" Target="https://www.bci.cl/corporativo/politicas-y-normas/politicas-de-privacidad" TargetMode="External" Id="rId19"/><Relationship Type="http://schemas.openxmlformats.org/officeDocument/2006/relationships/hyperlink" Target="https://www.scotiabankchile.cl/Personas/politica-de-privacidad" TargetMode="External" Id="rId20"/><Relationship Type="http://schemas.openxmlformats.org/officeDocument/2006/relationships/hyperlink" Target="https://www.itau.cl/personas/terminos-de-uso-y-politicas-de-privacidad" TargetMode="External" Id="rId21"/><Relationship Type="http://schemas.openxmlformats.org/officeDocument/2006/relationships/hyperlink" Target="https://banco.bice.cl/personas/politica-de-privacidad" TargetMode="External" Id="rId22"/><Relationship Type="http://schemas.openxmlformats.org/officeDocument/2006/relationships/hyperlink" Target="https://personas.bancosecurity.cl/informacion-al-cliente/politica-de-privacidad" TargetMode="External" Id="rId23"/><Relationship Type="http://schemas.openxmlformats.org/officeDocument/2006/relationships/hyperlink" Target="https://www.bancofalabella.cl/politicas-privacidad" TargetMode="External" Id="rId24"/><Relationship Type="http://schemas.openxmlformats.org/officeDocument/2006/relationships/hyperlink" Target="https://www.bancoripley.cl/pdf/politica-de-privacidad-banco-y-filiales.pdf" TargetMode="External" Id="rId25"/><Relationship Type="http://schemas.openxmlformats.org/officeDocument/2006/relationships/hyperlink" Target="https://www.cmrpuntos.cl/como-cuidamos-tus-datos" TargetMode="External" Id="rId26"/><Relationship Type="http://schemas.openxmlformats.org/officeDocument/2006/relationships/hyperlink" Target="https://staticresourcesfiles.blob.core.windows.net/content/web/static/906860754575773-6838258899856127-declaracion_de_privacidad_y_tratamiento_de_datos_personales_cat.pdf" TargetMode="External" Id="rId27"/><Relationship Type="http://schemas.openxmlformats.org/officeDocument/2006/relationships/hyperlink" Target="https://www.bancoripley.cl/pdf/politica-de-privacidad-banco-y-filiales.pdf" TargetMode="External" Id="rId28"/><Relationship Type="http://schemas.openxmlformats.org/officeDocument/2006/relationships/hyperlink" Target="https://www.liderbci.cl/politica-de-privacidad" TargetMode="External" Id="rId29"/><Relationship Type="http://schemas.openxmlformats.org/officeDocument/2006/relationships/hyperlink" Target="https://www.abc.cl/terminos-y-condiciones.html" TargetMode="External" Id="rId30"/><Relationship Type="http://schemas.openxmlformats.org/officeDocument/2006/relationships/hyperlink" Target="https://tarjetahites.cl/politicas-privacidad-app/" TargetMode="External" Id="rId31"/><Relationship Type="http://schemas.openxmlformats.org/officeDocument/2006/relationships/hyperlink" Target="https://www.abc.cl/terminos-y-condiciones.html" TargetMode="External" Id="rId32"/><Relationship Type="http://schemas.openxmlformats.org/officeDocument/2006/relationships/hyperlink" Target="https://www.falabella.com/falabella-cl/page/politica-privacidad-falabella-retail" TargetMode="External" Id="rId33"/><Relationship Type="http://schemas.openxmlformats.org/officeDocument/2006/relationships/hyperlink" Target="https://www.paris.cl/informaciones-legales/politica-privacidad-de-datos/" TargetMode="External" Id="rId34"/><Relationship Type="http://schemas.openxmlformats.org/officeDocument/2006/relationships/hyperlink" Target="https://www.lider.cl/ayuda/articulo/politicas-de-privacidad/b7331045956d4b5298f1436343afebdd" TargetMode="External" Id="rId35"/><Relationship Type="http://schemas.openxmlformats.org/officeDocument/2006/relationships/hyperlink" Target="https://bnpparibascardif.cl/wp-content/uploads/sites/15/2024/12/Aviso-de-privacidad.pdf" TargetMode="External" Id="rId36"/><Relationship Type="http://schemas.openxmlformats.org/officeDocument/2006/relationships/hyperlink" Target="https://w3.metlife.cl/content/dam/metlifecom/cl/pdfs/derechos-arcc/FORMULARIO-DE-SOLICITUD-ARCC-WEB.pdf" TargetMode="External" Id="rId37"/><Relationship Type="http://schemas.openxmlformats.org/officeDocument/2006/relationships/hyperlink" Target="https://w3.metlife.cl/derechos-arcc" TargetMode="External" Id="rId38"/><Relationship Type="http://schemas.openxmlformats.org/officeDocument/2006/relationships/hyperlink" Target="https://privacyportal-br.onetrust.com/webform/34d4a9e1-b824-41bf-b78b-1bd88cabf2d6/bd522870-69b6-4460-8121-e766f09d00d4" TargetMode="External" Id="rId39"/><Relationship Type="http://schemas.openxmlformats.org/officeDocument/2006/relationships/hyperlink" Target="https://www.bciseguros.cl/especiales/politicas-privacidad-uso-de-los-datos/" TargetMode="External" Id="rId40"/><Relationship Type="http://schemas.openxmlformats.org/officeDocument/2006/relationships/hyperlink" Target="https://sitio.consorcio.cl/comunicados/politica-de-privacidad" TargetMode="External" Id="rId41"/><Relationship Type="http://schemas.openxmlformats.org/officeDocument/2006/relationships/hyperlink" Target="https://www.zurich.cl/conocenos/politicas-de-privacidad" TargetMode="External" Id="rId42"/><Relationship Type="http://schemas.openxmlformats.org/officeDocument/2006/relationships/hyperlink" Target="https://www.chubb.com/cl-es/bases-legales/aviso-de-proteccion-de-datos.html" TargetMode="External" Id="rId43"/><Relationship Type="http://schemas.openxmlformats.org/officeDocument/2006/relationships/hyperlink" Target="https://www.hdi.cl/informacion-util" TargetMode="External" Id="rId44"/><Relationship Type="http://schemas.openxmlformats.org/officeDocument/2006/relationships/hyperlink" Target="https://www.mapfre.cl/privacidad/" TargetMode="External" Id="rId45"/><Relationship Type="http://schemas.openxmlformats.org/officeDocument/2006/relationships/hyperlink" Target="https://nueva.afpmodelo.cl/Politicas/" TargetMode="External" Id="rId46"/><Relationship Type="http://schemas.openxmlformats.org/officeDocument/2006/relationships/hyperlink" Target="https://www.uno.cl/ayuda/terminosdeusoapp" TargetMode="External" Id="rId47"/><Relationship Type="http://schemas.openxmlformats.org/officeDocument/2006/relationships/hyperlink" Target="https://miportal.cajalosandes.cl/redireccion-buzon-login-contexto-aviso-privacidad" TargetMode="External" Id="rId48"/><Relationship Type="http://schemas.openxmlformats.org/officeDocument/2006/relationships/hyperlink" Target="https://somosandes.cajalosandes.cl/somos/transparencia" TargetMode="External" Id="rId49"/><Relationship Type="http://schemas.openxmlformats.org/officeDocument/2006/relationships/hyperlink" Target="https://formcontacto.laaraucana.cl/" TargetMode="External" Id="rId50"/><Relationship Type="http://schemas.openxmlformats.org/officeDocument/2006/relationships/hyperlink" Target="https://www.caja18.cl/politica-de-privacidad/" TargetMode="External" Id="rId51"/><Relationship Type="http://schemas.openxmlformats.org/officeDocument/2006/relationships/hyperlink" Target="https://www.losheroes.cl/trabajadores/nuestra-empresa/politicas-de-privacidad/" TargetMode="External" Id="rId52"/><Relationship Type="http://schemas.openxmlformats.org/officeDocument/2006/relationships/hyperlink" Target="https://static.coopeuch.cl/media/UploadGeneral/file/POL_Privacidad_de_Datos_Socios_v1.1_2026_08_18.pdf" TargetMode="External" Id="rId53"/><Relationship Type="http://schemas.openxmlformats.org/officeDocument/2006/relationships/hyperlink" Target="https://centroayudaforum.custhelp.com/app/ask" TargetMode="External" Id="rId54"/><Relationship Type="http://schemas.openxmlformats.org/officeDocument/2006/relationships/hyperlink" Target="https://forum.cl/politicas-de-privacidad/" TargetMode="External" Id="rId55"/><Relationship Type="http://schemas.openxmlformats.org/officeDocument/2006/relationships/hyperlink" Target="https://www.enel.cl/es/footer/politica-de-privacidad-distribucion.html" TargetMode="External" Id="rId56"/><Relationship Type="http://schemas.openxmlformats.org/officeDocument/2006/relationships/hyperlink" Target="https://www.metrogas.cl/politica-privacidad" TargetMode="External" Id="rId57"/><Relationship Type="http://schemas.openxmlformats.org/officeDocument/2006/relationships/hyperlink" Target="https://www.colmena.cl/source/wp-content/uploads/2026/06/politica-privacidad-JUN26.pdf" TargetMode="External" Id="rId58"/><Relationship Type="http://schemas.openxmlformats.org/officeDocument/2006/relationships/hyperlink" Target="https://www.consalud.cl/privacidad" TargetMode="External" Id="rId59"/></Relationships>
</file>

<file path=xl/worksheets/sheet1.xml><?xml version="1.0" encoding="utf-8"?>
<worksheet xmlns="http://schemas.openxmlformats.org/spreadsheetml/2006/main">
  <sheetPr filterMode="0">
    <outlinePr summaryBelow="1" summaryRight="1"/>
    <pageSetUpPr fitToPage="0"/>
  </sheetPr>
  <dimension ref="A1:A1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16" min="1" max="1"/>
  </cols>
  <sheetData>
    <row r="1" ht="15" customHeight="1" s="17">
      <c r="A1" s="18" t="inlineStr">
        <is>
          <t>Tracker: 50 empresas – oposición y supresión de datos + No Molestar</t>
        </is>
      </c>
    </row>
    <row r="2" ht="15" customHeight="1" s="17">
      <c r="A2" s="19" t="n"/>
    </row>
    <row r="3" ht="23.85" customHeight="1" s="17">
      <c r="A3" s="19" t="inlineStr">
        <is>
          <t>1. En 'Empresas', mira la columna 'Vía de envío': Correo = manda la plantilla al correo indicado; Formulario web = usa el link; Canal alternativo = la empresa no publica correo de datos personales, usa el teléfono, sucursal o formulario indicado.</t>
        </is>
      </c>
    </row>
    <row r="4" ht="15" customHeight="1" s="17">
      <c r="A4" s="19" t="inlineStr">
        <is>
          <t>2. Envía el correo de la plantilla (documento aparte) a cada empresa y anota la fecha en 'Enviado (fecha)'.</t>
        </is>
      </c>
    </row>
    <row r="5" ht="15" customHeight="1" s="17">
      <c r="A5" s="19" t="inlineStr">
        <is>
          <t>3. Ingresa la solicitud No Molestar en el Portal del Consumidor del SERNAC (con tu ClaveÚnica) y anota fecha y N°.</t>
        </is>
      </c>
    </row>
    <row r="6" ht="15" customHeight="1" s="17">
      <c r="A6" s="19" t="inlineStr">
        <is>
          <t>4. Los plazos se calculan solos en días hábiles, descontando fines de semana y los feriados de la hoja 'Feriados'.</t>
        </is>
      </c>
    </row>
    <row r="7" ht="15" customHeight="1" s="17">
      <c r="A7" s="19" t="inlineStr">
        <is>
          <t>5. Si siguen llamando después del plazo, marca 'Sí' en '¿Siguen llamando?' y presenta el aviso de incumplimiento en el portal.</t>
        </is>
      </c>
    </row>
    <row r="8" ht="15" customHeight="1" s="17">
      <c r="A8" s="19" t="n"/>
    </row>
    <row r="9" ht="15" customHeight="1" s="17">
      <c r="A9" s="19" t="inlineStr">
        <is>
          <t>Celdas amarillas = las llenas tú. Celdas blancas = datos investigados o fórmulas (no editar).</t>
        </is>
      </c>
    </row>
    <row r="10" ht="15" customHeight="1" s="17">
      <c r="A10" s="19" t="inlineStr">
        <is>
          <t>Plazo respuesta correo: 2 días hábiles (art. 16, Ley 19.628). Plazo No Molestar: 7 días hábiles (SERNAC).</t>
        </is>
      </c>
    </row>
    <row r="11" ht="23.85" customHeight="1" s="17">
      <c r="A11" s="19" t="inlineStr">
        <is>
          <t>Lista armada a partir de los rankings públicos del SERNAC (Claro-VTR, Movistar, Entel, WOM encabezan desde 2019) y de los sectores que concentran las solicitudes: telecom, financiero, retail y seguros. El SERNAC no publica un top 50 oficial.</t>
        </is>
      </c>
    </row>
    <row r="12" ht="15" customHeight="1" s="17">
      <c r="A12" s="19" t="inlineStr">
        <is>
          <t>Feriados: verificar contra la lista oficial cada año. Esto no es asesoría legal.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5" customWidth="1" style="16" min="1" max="1"/>
    <col width="22" customWidth="1" style="16" min="2" max="2"/>
    <col width="16" customWidth="1" style="16" min="3" max="3"/>
    <col width="30" customWidth="1" style="16" min="4" max="4"/>
    <col width="13" customWidth="1" style="16" min="5" max="5"/>
    <col width="30" customWidth="1" style="16" min="6" max="10"/>
    <col width="14" customWidth="1" style="16" min="11" max="11"/>
    <col width="13" customWidth="1" style="16" min="12" max="13"/>
    <col width="11" customWidth="1" style="16" min="14" max="14"/>
    <col width="13" customWidth="1" style="16" min="15" max="15"/>
    <col width="14" customWidth="1" style="16" min="16" max="16"/>
    <col width="13" customWidth="1" style="16" min="17" max="17"/>
    <col width="11" customWidth="1" style="16" min="18" max="18"/>
    <col width="13" customWidth="1" style="16" min="19" max="19"/>
    <col width="24" customWidth="1" style="16" min="20" max="20"/>
    <col width="30" customWidth="1" style="16" min="21" max="21"/>
  </cols>
  <sheetData>
    <row r="1" ht="31.5" customHeight="1" s="17">
      <c r="A1" s="20" t="inlineStr">
        <is>
          <t>#</t>
        </is>
      </c>
      <c r="B1" s="20" t="inlineStr">
        <is>
          <t>Marca</t>
        </is>
      </c>
      <c r="C1" s="20" t="inlineStr">
        <is>
          <t>Sector</t>
        </is>
      </c>
      <c r="D1" s="20" t="inlineStr">
        <is>
          <t>Razón social</t>
        </is>
      </c>
      <c r="E1" s="20" t="inlineStr">
        <is>
          <t>RUT</t>
        </is>
      </c>
      <c r="F1" s="20" t="inlineStr">
        <is>
          <t>Correo datos personales</t>
        </is>
      </c>
      <c r="G1" s="20" t="inlineStr">
        <is>
          <t>Formulario web</t>
        </is>
      </c>
      <c r="H1" s="20" t="inlineStr">
        <is>
          <t>Opt-out propio</t>
        </is>
      </c>
      <c r="I1" s="20" t="inlineStr">
        <is>
          <t>Canal alternativo</t>
        </is>
      </c>
      <c r="J1" s="20" t="inlineStr">
        <is>
          <t>Fuente</t>
        </is>
      </c>
      <c r="K1" s="20" t="inlineStr">
        <is>
          <t>Vía de envío</t>
        </is>
      </c>
      <c r="L1" s="20" t="inlineStr">
        <is>
          <t>Enviado (fecha)</t>
        </is>
      </c>
      <c r="M1" s="20" t="inlineStr">
        <is>
          <t>Plazo respuesta correo</t>
        </is>
      </c>
      <c r="N1" s="20" t="inlineStr">
        <is>
          <t>¿Respondió?</t>
        </is>
      </c>
      <c r="O1" s="20" t="inlineStr">
        <is>
          <t>No Molestar ingresado</t>
        </is>
      </c>
      <c r="P1" s="20" t="inlineStr">
        <is>
          <t>N° solicitud SERNAC</t>
        </is>
      </c>
      <c r="Q1" s="20" t="inlineStr">
        <is>
          <t>Plazo No Molestar</t>
        </is>
      </c>
      <c r="R1" s="20" t="inlineStr">
        <is>
          <t>¿Siguen llamando?</t>
        </is>
      </c>
      <c r="S1" s="20" t="inlineStr">
        <is>
          <t>Aviso incumplimiento</t>
        </is>
      </c>
      <c r="T1" s="20" t="inlineStr">
        <is>
          <t>Estado</t>
        </is>
      </c>
      <c r="U1" s="20" t="inlineStr">
        <is>
          <t>Notas</t>
        </is>
      </c>
    </row>
    <row r="2" ht="102.2" customHeight="1" s="17">
      <c r="A2" s="21" t="n">
        <v>1</v>
      </c>
      <c r="B2" s="22" t="inlineStr">
        <is>
          <t>Claro Chile</t>
        </is>
      </c>
      <c r="C2" s="22" t="inlineStr">
        <is>
          <t>Telecom</t>
        </is>
      </c>
      <c r="D2" s="22" t="n"/>
      <c r="E2" s="22" t="n"/>
      <c r="F2" s="22" t="inlineStr">
        <is>
          <t>datos.personales@clarochile.cl</t>
        </is>
      </c>
      <c r="G2" s="23" t="inlineStr">
        <is>
          <t>https://denuncias.americamovil.com/</t>
        </is>
      </c>
      <c r="H2" s="22" t="inlineStr">
        <is>
          <t>Formulario 'No Molestar' en el sitio de Claro (efecto inmediato para comunicaciones publicitarias); política 2022 enlaza https://www.clarochile.cl/portal/cl/legal-regulatorio/lightbox/descripcion-ED-209.html para dejar de recibir ofertas; también derecho art. 28B Ley 19.496</t>
        </is>
      </c>
      <c r="I2" s="22" t="inlineStr">
        <is>
          <t>Centros de Atención Claro VTR (presencial) / call center</t>
        </is>
      </c>
      <c r="J2" s="23" t="inlineStr">
        <is>
          <t>https://www.clarochile.cl/portal/cl/recursos_contenido/pdf/1738265380882-politica-de-proteccion-de-datos-personalesclarovtr-2025.pdf</t>
        </is>
      </c>
      <c r="K2" s="22" t="inlineStr">
        <is>
          <t>Correo</t>
        </is>
      </c>
      <c r="L2" s="24" t="n"/>
      <c r="M2" s="25">
        <f>IF(L2="","",WORKDAY(L2,2,Feriados!$A$2:$A$60))</f>
        <v/>
      </c>
      <c r="N2" s="26" t="n"/>
      <c r="O2" s="24" t="n"/>
      <c r="P2" s="26" t="n"/>
      <c r="Q2" s="25">
        <f>IF(O2="","",WORKDAY(O2,7,Feriados!$A$2:$A$60))</f>
        <v/>
      </c>
      <c r="R2" s="26" t="n"/>
      <c r="S2" s="24" t="n"/>
      <c r="T2" s="22">
        <f>IF(AND(L2="",O2=""),"Por enviar",IF(R2="Sí",IF(S2="","Reportar incumplimiento","Incumplimiento reportado"),IF(AND(Q2&lt;&gt;"",TODAY()&gt;Q2),"Plazo vencido – verificar",IF(AND(M2&lt;&gt;"",TODAY()&gt;M2,N2&lt;&gt;"Sí"),"Correo sin respuesta","En plazo"))))</f>
        <v/>
      </c>
      <c r="U2" s="26" t="n"/>
    </row>
    <row r="3" ht="35.05" customHeight="1" s="17">
      <c r="A3" s="21" t="n">
        <v>2</v>
      </c>
      <c r="B3" s="22" t="inlineStr">
        <is>
          <t>VTR</t>
        </is>
      </c>
      <c r="C3" s="22" t="inlineStr">
        <is>
          <t>Telecom</t>
        </is>
      </c>
      <c r="D3" s="22" t="n"/>
      <c r="E3" s="22" t="n"/>
      <c r="F3" s="22" t="inlineStr">
        <is>
          <t>datos.personales@clarochile.cl</t>
        </is>
      </c>
      <c r="G3" s="23" t="inlineStr">
        <is>
          <t>https://denuncias.americamovil.com/</t>
        </is>
      </c>
      <c r="H3" s="22" t="inlineStr">
        <is>
          <t>Formulario 'VTR: No Molestar' referido en la política conjunta Claro VTR</t>
        </is>
      </c>
      <c r="I3" s="22" t="inlineStr">
        <is>
          <t>Centros de Atención Claro VTR / centrodeayudaonline.vtr.com</t>
        </is>
      </c>
      <c r="J3" s="23" t="inlineStr">
        <is>
          <t>https://www.clarochile.cl/portal/cl/recursos_contenido/pdf/1738265380882-politica-de-proteccion-de-datos-personalesclarovtr-2025.pdf</t>
        </is>
      </c>
      <c r="K3" s="22" t="inlineStr">
        <is>
          <t>Correo</t>
        </is>
      </c>
      <c r="L3" s="24" t="n"/>
      <c r="M3" s="25">
        <f>IF(L3="","",WORKDAY(L3,2,Feriados!$A$2:$A$60))</f>
        <v/>
      </c>
      <c r="N3" s="26" t="n"/>
      <c r="O3" s="24" t="n"/>
      <c r="P3" s="26" t="n"/>
      <c r="Q3" s="25">
        <f>IF(O3="","",WORKDAY(O3,7,Feriados!$A$2:$A$60))</f>
        <v/>
      </c>
      <c r="R3" s="26" t="n"/>
      <c r="S3" s="24" t="n"/>
      <c r="T3" s="22">
        <f>IF(AND(L3="",O3=""),"Por enviar",IF(R3="Sí",IF(S3="","Reportar incumplimiento","Incumplimiento reportado"),IF(AND(Q3&lt;&gt;"",TODAY()&gt;Q3),"Plazo vencido – verificar",IF(AND(M3&lt;&gt;"",TODAY()&gt;M3,N3&lt;&gt;"Sí"),"Correo sin respuesta","En plazo"))))</f>
        <v/>
      </c>
      <c r="U3" s="26" t="n"/>
    </row>
    <row r="4" ht="68.65000000000001" customHeight="1" s="17">
      <c r="A4" s="21" t="n">
        <v>3</v>
      </c>
      <c r="B4" s="22" t="inlineStr">
        <is>
          <t>Movistar Chile (Telefónica Chile)</t>
        </is>
      </c>
      <c r="C4" s="22" t="inlineStr">
        <is>
          <t>Telecom</t>
        </is>
      </c>
      <c r="D4" s="22" t="n"/>
      <c r="E4" s="22" t="n"/>
      <c r="F4" s="22" t="n"/>
      <c r="G4" s="23" t="inlineStr">
        <is>
          <t>https://legalmovistar.mvch.cl/</t>
        </is>
      </c>
      <c r="H4" s="22" t="inlineStr">
        <is>
          <t>Formulario No Molestar (llamadas, SMS, WhatsApp, email; art. 28B Ley 19.496): https://catalogo.movistar.cl/planes/formularionomolestar ; link de des-inscripción en cada email</t>
        </is>
      </c>
      <c r="I4" s="22" t="inlineStr">
        <is>
          <t>Teléfono 103, sucursales Movistar, redes sociales; Oficina de Protección de Datos de Movistar Chile</t>
        </is>
      </c>
      <c r="J4" s="23" t="inlineStr">
        <is>
          <t>https://ww2.movistar.cl/centro-de-transparencia/derechos.html</t>
        </is>
      </c>
      <c r="K4" s="22" t="inlineStr">
        <is>
          <t>Formulario web</t>
        </is>
      </c>
      <c r="L4" s="24" t="n"/>
      <c r="M4" s="25">
        <f>IF(L4="","",WORKDAY(L4,2,Feriados!$A$2:$A$60))</f>
        <v/>
      </c>
      <c r="N4" s="26" t="n"/>
      <c r="O4" s="24" t="n"/>
      <c r="P4" s="26" t="n"/>
      <c r="Q4" s="25">
        <f>IF(O4="","",WORKDAY(O4,7,Feriados!$A$2:$A$60))</f>
        <v/>
      </c>
      <c r="R4" s="26" t="n"/>
      <c r="S4" s="24" t="n"/>
      <c r="T4" s="22">
        <f>IF(AND(L4="",O4=""),"Por enviar",IF(R4="Sí",IF(S4="","Reportar incumplimiento","Incumplimiento reportado"),IF(AND(Q4&lt;&gt;"",TODAY()&gt;Q4),"Plazo vencido – verificar",IF(AND(M4&lt;&gt;"",TODAY()&gt;M4,N4&lt;&gt;"Sí"),"Correo sin respuesta","En plazo"))))</f>
        <v/>
      </c>
      <c r="U4" s="26" t="n"/>
    </row>
    <row r="5" ht="46.25" customHeight="1" s="17">
      <c r="A5" s="21" t="n">
        <v>4</v>
      </c>
      <c r="B5" s="22" t="inlineStr">
        <is>
          <t>Entel</t>
        </is>
      </c>
      <c r="C5" s="22" t="inlineStr">
        <is>
          <t>Telecom</t>
        </is>
      </c>
      <c r="D5" s="22" t="inlineStr">
        <is>
          <t>Empresa Nacional de Telecomunicaciones S.A. / Entel PCS Telecomunicaciones S.A.</t>
        </is>
      </c>
      <c r="E5" s="22" t="inlineStr">
        <is>
          <t>92.580.000-7 / 96.806.980-2</t>
        </is>
      </c>
      <c r="F5" s="22" t="inlineStr">
        <is>
          <t>protecciondedatos@entel.cl</t>
        </is>
      </c>
      <c r="G5" s="22" t="n"/>
      <c r="H5" s="22" t="inlineStr">
        <is>
          <t>Oposición a comunicaciones comerciales por cada canal, siguiendo instrucciones incluidas en cada mensaje</t>
        </is>
      </c>
      <c r="I5" s="22" t="inlineStr">
        <is>
          <t>Mi Entel (web), App Entel, sucursales Entel, call center</t>
        </is>
      </c>
      <c r="J5" s="23" t="inlineStr">
        <is>
          <t>https://entelconviene.entel.cl/media/entelconviene/terminosCondiciones/Politica-Privacidad-Clientes-Nov-2022.pdf</t>
        </is>
      </c>
      <c r="K5" s="22" t="inlineStr">
        <is>
          <t>Correo</t>
        </is>
      </c>
      <c r="L5" s="24" t="n"/>
      <c r="M5" s="25">
        <f>IF(L5="","",WORKDAY(L5,2,Feriados!$A$2:$A$60))</f>
        <v/>
      </c>
      <c r="N5" s="26" t="n"/>
      <c r="O5" s="24" t="n"/>
      <c r="P5" s="26" t="n"/>
      <c r="Q5" s="25">
        <f>IF(O5="","",WORKDAY(O5,7,Feriados!$A$2:$A$60))</f>
        <v/>
      </c>
      <c r="R5" s="26" t="n"/>
      <c r="S5" s="24" t="n"/>
      <c r="T5" s="22">
        <f>IF(AND(L5="",O5=""),"Por enviar",IF(R5="Sí",IF(S5="","Reportar incumplimiento","Incumplimiento reportado"),IF(AND(Q5&lt;&gt;"",TODAY()&gt;Q5),"Plazo vencido – verificar",IF(AND(M5&lt;&gt;"",TODAY()&gt;M5,N5&lt;&gt;"Sí"),"Correo sin respuesta","En plazo"))))</f>
        <v/>
      </c>
      <c r="U5" s="26" t="n"/>
    </row>
    <row r="6" ht="57.45" customHeight="1" s="17">
      <c r="A6" s="21" t="n">
        <v>5</v>
      </c>
      <c r="B6" s="22" t="inlineStr">
        <is>
          <t>WOM Chile</t>
        </is>
      </c>
      <c r="C6" s="22" t="inlineStr">
        <is>
          <t>Telecom</t>
        </is>
      </c>
      <c r="D6" s="22" t="n"/>
      <c r="E6" s="22" t="n"/>
      <c r="F6" s="22" t="n"/>
      <c r="G6" s="22" t="n"/>
      <c r="H6" s="22" t="inlineStr">
        <is>
          <t>Artículo de ayuda 'No molestar WOM': https://www.wom.cl/centro-de-ayuda/como-puedo-dejar-de-recibir-informacion-de-wom/ (contenido no verificado)</t>
        </is>
      </c>
      <c r="I6" s="22" t="inlineStr">
        <is>
          <t>Centro de ayuda WOM: https://www.wom.cl/centro-de-ayuda/</t>
        </is>
      </c>
      <c r="J6" s="23" t="inlineStr">
        <is>
          <t>https://www.wom.cl/politica-privacidad/</t>
        </is>
      </c>
      <c r="K6" s="22" t="inlineStr">
        <is>
          <t>Canal alternativo</t>
        </is>
      </c>
      <c r="L6" s="24" t="n"/>
      <c r="M6" s="25">
        <f>IF(L6="","",WORKDAY(L6,2,Feriados!$A$2:$A$60))</f>
        <v/>
      </c>
      <c r="N6" s="26" t="n"/>
      <c r="O6" s="24" t="n"/>
      <c r="P6" s="26" t="n"/>
      <c r="Q6" s="25">
        <f>IF(O6="","",WORKDAY(O6,7,Feriados!$A$2:$A$60))</f>
        <v/>
      </c>
      <c r="R6" s="26" t="n"/>
      <c r="S6" s="24" t="n"/>
      <c r="T6" s="22">
        <f>IF(AND(L6="",O6=""),"Por enviar",IF(R6="Sí",IF(S6="","Reportar incumplimiento","Incumplimiento reportado"),IF(AND(Q6&lt;&gt;"",TODAY()&gt;Q6),"Plazo vencido – verificar",IF(AND(M6&lt;&gt;"",TODAY()&gt;M6,N6&lt;&gt;"Sí"),"Correo sin respuesta","En plazo"))))</f>
        <v/>
      </c>
      <c r="U6" s="26" t="n"/>
    </row>
    <row r="7" ht="68.65000000000001" customHeight="1" s="17">
      <c r="A7" s="21" t="n">
        <v>6</v>
      </c>
      <c r="B7" s="22" t="inlineStr">
        <is>
          <t>Mundo Telecomunicaciones (mundo.cl)</t>
        </is>
      </c>
      <c r="C7" s="22" t="inlineStr">
        <is>
          <t>Telecom</t>
        </is>
      </c>
      <c r="D7" s="22" t="inlineStr">
        <is>
          <t>Pácifico Cable SpA</t>
        </is>
      </c>
      <c r="E7" s="22" t="inlineStr">
        <is>
          <t>96.722.400-6</t>
        </is>
      </c>
      <c r="F7" s="22" t="inlineStr">
        <is>
          <t>legal@mundotelecomunicaciones.cl</t>
        </is>
      </c>
      <c r="G7" s="23" t="inlineStr">
        <is>
          <t>https://www.tumundo.cl/wp-content/uploads/2025/06/FORMULARIO-EJERCICIO-DERECHOS-DATOS-PERSONALES.pdf</t>
        </is>
      </c>
      <c r="H7" s="22" t="inlineStr">
        <is>
          <t>Instrucciones de baja en cada mensaje (por canal); registro 'No Molestar' de SERNAC</t>
        </is>
      </c>
      <c r="I7" s="22" t="inlineStr">
        <is>
          <t>Call Center 600 9100 100, www.tumundo.cl, sucursales; también ciberseguridad@mundotelecomunicaciones.cl para consultas de la política</t>
        </is>
      </c>
      <c r="J7" s="23" t="inlineStr">
        <is>
          <t>https://www.tumundo.cl/wp-content/uploads/2025/06/Politica-de-privacidad-.pdf</t>
        </is>
      </c>
      <c r="K7" s="22" t="inlineStr">
        <is>
          <t>Correo</t>
        </is>
      </c>
      <c r="L7" s="24" t="n"/>
      <c r="M7" s="25">
        <f>IF(L7="","",WORKDAY(L7,2,Feriados!$A$2:$A$60))</f>
        <v/>
      </c>
      <c r="N7" s="26" t="n"/>
      <c r="O7" s="24" t="n"/>
      <c r="P7" s="26" t="n"/>
      <c r="Q7" s="25">
        <f>IF(O7="","",WORKDAY(O7,7,Feriados!$A$2:$A$60))</f>
        <v/>
      </c>
      <c r="R7" s="26" t="n"/>
      <c r="S7" s="24" t="n"/>
      <c r="T7" s="22">
        <f>IF(AND(L7="",O7=""),"Por enviar",IF(R7="Sí",IF(S7="","Reportar incumplimiento","Incumplimiento reportado"),IF(AND(Q7&lt;&gt;"",TODAY()&gt;Q7),"Plazo vencido – verificar",IF(AND(M7&lt;&gt;"",TODAY()&gt;M7,N7&lt;&gt;"Sí"),"Correo sin respuesta","En plazo"))))</f>
        <v/>
      </c>
      <c r="U7" s="26" t="inlineStr">
        <is>
          <t>El correo legal@ es para consultas sobre la política; para ejercer derechos la empresa ofrece el formulario PDF.</t>
        </is>
      </c>
    </row>
    <row r="8" ht="46.25" customHeight="1" s="17">
      <c r="A8" s="21" t="n">
        <v>7</v>
      </c>
      <c r="B8" s="22" t="inlineStr">
        <is>
          <t>DirecTV Chile</t>
        </is>
      </c>
      <c r="C8" s="22" t="inlineStr">
        <is>
          <t>Telecom</t>
        </is>
      </c>
      <c r="D8" s="22" t="n"/>
      <c r="E8" s="22" t="n"/>
      <c r="F8" s="22" t="n"/>
      <c r="G8" s="22" t="n"/>
      <c r="H8" s="22" t="n"/>
      <c r="I8" s="22" t="inlineStr">
        <is>
          <t>Sucursales/atención DIRECTV Chile: https://www.directvla.com/cl/sucursales</t>
        </is>
      </c>
      <c r="J8" s="23" t="inlineStr">
        <is>
          <t>https://www.directvla.com/cl/politicas-de-privacidad</t>
        </is>
      </c>
      <c r="K8" s="22" t="inlineStr">
        <is>
          <t>Canal alternativo</t>
        </is>
      </c>
      <c r="L8" s="24" t="n"/>
      <c r="M8" s="25">
        <f>IF(L8="","",WORKDAY(L8,2,Feriados!$A$2:$A$60))</f>
        <v/>
      </c>
      <c r="N8" s="26" t="n"/>
      <c r="O8" s="24" t="n"/>
      <c r="P8" s="26" t="n"/>
      <c r="Q8" s="25">
        <f>IF(O8="","",WORKDAY(O8,7,Feriados!$A$2:$A$60))</f>
        <v/>
      </c>
      <c r="R8" s="26" t="n"/>
      <c r="S8" s="24" t="n"/>
      <c r="T8" s="22">
        <f>IF(AND(L8="",O8=""),"Por enviar",IF(R8="Sí",IF(S8="","Reportar incumplimiento","Incumplimiento reportado"),IF(AND(Q8&lt;&gt;"",TODAY()&gt;Q8),"Plazo vencido – verificar",IF(AND(M8&lt;&gt;"",TODAY()&gt;M8,N8&lt;&gt;"Sí"),"Correo sin respuesta","En plazo"))))</f>
        <v/>
      </c>
      <c r="U8" s="26" t="n"/>
    </row>
    <row r="9" ht="57.45" customHeight="1" s="17">
      <c r="A9" s="21" t="n">
        <v>8</v>
      </c>
      <c r="B9" s="22" t="inlineStr">
        <is>
          <t>GTD</t>
        </is>
      </c>
      <c r="C9" s="22" t="inlineStr">
        <is>
          <t>Telecom</t>
        </is>
      </c>
      <c r="D9" s="22" t="inlineStr">
        <is>
          <t>Grupo GTD Teleductos S.A.</t>
        </is>
      </c>
      <c r="E9" s="22" t="inlineStr">
        <is>
          <t>94.727.000-1</t>
        </is>
      </c>
      <c r="F9" s="22" t="inlineStr">
        <is>
          <t>datos.personales@grupogtd.com</t>
        </is>
      </c>
      <c r="G9" s="22" t="n"/>
      <c r="H9" s="22" t="inlineStr">
        <is>
          <t>Revocación del consentimiento (incl. comunicaciones de marketing) escribiendo a datos.personales@grupogtd.com</t>
        </is>
      </c>
      <c r="I9" s="22" t="inlineStr">
        <is>
          <t>Call Center 600 950 5000; WhatsApp +56 9 6761 9001; formulario reclamos https://www.gtd.cl/formulario-reclamos</t>
        </is>
      </c>
      <c r="J9" s="23" t="inlineStr">
        <is>
          <t>https://www.gtd.cl/politica-de-privacidad-y-proteccion-de-datos-personales-2026</t>
        </is>
      </c>
      <c r="K9" s="22" t="inlineStr">
        <is>
          <t>Correo</t>
        </is>
      </c>
      <c r="L9" s="24" t="n"/>
      <c r="M9" s="25">
        <f>IF(L9="","",WORKDAY(L9,2,Feriados!$A$2:$A$60))</f>
        <v/>
      </c>
      <c r="N9" s="26" t="n"/>
      <c r="O9" s="24" t="n"/>
      <c r="P9" s="26" t="n"/>
      <c r="Q9" s="25">
        <f>IF(O9="","",WORKDAY(O9,7,Feriados!$A$2:$A$60))</f>
        <v/>
      </c>
      <c r="R9" s="26" t="n"/>
      <c r="S9" s="24" t="n"/>
      <c r="T9" s="22">
        <f>IF(AND(L9="",O9=""),"Por enviar",IF(R9="Sí",IF(S9="","Reportar incumplimiento","Incumplimiento reportado"),IF(AND(Q9&lt;&gt;"",TODAY()&gt;Q9),"Plazo vencido – verificar",IF(AND(M9&lt;&gt;"",TODAY()&gt;M9,N9&lt;&gt;"Sí"),"Correo sin respuesta","En plazo"))))</f>
        <v/>
      </c>
      <c r="U9" s="26" t="n"/>
    </row>
    <row r="10" ht="68.65000000000001" customHeight="1" s="17">
      <c r="A10" s="21" t="n">
        <v>9</v>
      </c>
      <c r="B10" s="22" t="inlineStr">
        <is>
          <t>Rappi Chile</t>
        </is>
      </c>
      <c r="C10" s="22" t="inlineStr">
        <is>
          <t>Otros</t>
        </is>
      </c>
      <c r="D10" s="22" t="inlineStr">
        <is>
          <t>Rappi Chile SpA</t>
        </is>
      </c>
      <c r="E10" s="22" t="inlineStr">
        <is>
          <t>76.837.223-3</t>
        </is>
      </c>
      <c r="F10" s="22" t="inlineStr">
        <is>
          <t>notificacioneslegalcl@rappi.com</t>
        </is>
      </c>
      <c r="G10" s="23" t="inlineStr">
        <is>
          <t>https://www.rappi.cl/account/profile</t>
        </is>
      </c>
      <c r="H10" s="22" t="inlineStr">
        <is>
          <t>Exclusión de listas promocionales por email a servicioalclientechile@rappi.com; preferencias vía link en emails o en la Cuenta; portal No Molestar SERNAC</t>
        </is>
      </c>
      <c r="I10" s="22" t="inlineStr">
        <is>
          <t>servicioalclientechile@rappi.com / soporte en la app</t>
        </is>
      </c>
      <c r="J10" s="23" t="inlineStr">
        <is>
          <t>https://legal.rappi.com/chile/politica-de-privacidad/</t>
        </is>
      </c>
      <c r="K10" s="22" t="inlineStr">
        <is>
          <t>Correo</t>
        </is>
      </c>
      <c r="L10" s="24" t="n"/>
      <c r="M10" s="25">
        <f>IF(L10="","",WORKDAY(L10,2,Feriados!$A$2:$A$60))</f>
        <v/>
      </c>
      <c r="N10" s="26" t="n"/>
      <c r="O10" s="24" t="n"/>
      <c r="P10" s="26" t="n"/>
      <c r="Q10" s="25">
        <f>IF(O10="","",WORKDAY(O10,7,Feriados!$A$2:$A$60))</f>
        <v/>
      </c>
      <c r="R10" s="26" t="n"/>
      <c r="S10" s="24" t="n"/>
      <c r="T10" s="22">
        <f>IF(AND(L10="",O10=""),"Por enviar",IF(R10="Sí",IF(S10="","Reportar incumplimiento","Incumplimiento reportado"),IF(AND(Q10&lt;&gt;"",TODAY()&gt;Q10),"Plazo vencido – verificar",IF(AND(M10&lt;&gt;"",TODAY()&gt;M10,N10&lt;&gt;"Sí"),"Correo sin respuesta","En plazo"))))</f>
        <v/>
      </c>
      <c r="U10" s="26" t="n"/>
    </row>
    <row r="11" ht="35.05" customHeight="1" s="17">
      <c r="A11" s="21" t="n">
        <v>10</v>
      </c>
      <c r="B11" s="22" t="inlineStr">
        <is>
          <t>Mercado Libre / Mercado Pago Chile</t>
        </is>
      </c>
      <c r="C11" s="22" t="inlineStr">
        <is>
          <t>Otros</t>
        </is>
      </c>
      <c r="D11" s="22" t="n"/>
      <c r="E11" s="22" t="n"/>
      <c r="F11" s="22" t="n"/>
      <c r="G11" s="22" t="n"/>
      <c r="H11" s="22" t="n"/>
      <c r="I11" s="22" t="inlineStr">
        <is>
          <t>Centro de privacidad / ayuda: https://www.mercadolibre.cl/privacidad</t>
        </is>
      </c>
      <c r="J11" s="23" t="inlineStr">
        <is>
          <t>https://www.mercadopago.cl/privacidad/declaracion-privacidad/31199</t>
        </is>
      </c>
      <c r="K11" s="22" t="inlineStr">
        <is>
          <t>Canal alternativo</t>
        </is>
      </c>
      <c r="L11" s="24" t="n"/>
      <c r="M11" s="25">
        <f>IF(L11="","",WORKDAY(L11,2,Feriados!$A$2:$A$60))</f>
        <v/>
      </c>
      <c r="N11" s="26" t="n"/>
      <c r="O11" s="24" t="n"/>
      <c r="P11" s="26" t="n"/>
      <c r="Q11" s="25">
        <f>IF(O11="","",WORKDAY(O11,7,Feriados!$A$2:$A$60))</f>
        <v/>
      </c>
      <c r="R11" s="26" t="n"/>
      <c r="S11" s="24" t="n"/>
      <c r="T11" s="22">
        <f>IF(AND(L11="",O11=""),"Por enviar",IF(R11="Sí",IF(S11="","Reportar incumplimiento","Incumplimiento reportado"),IF(AND(Q11&lt;&gt;"",TODAY()&gt;Q11),"Plazo vencido – verificar",IF(AND(M11&lt;&gt;"",TODAY()&gt;M11,N11&lt;&gt;"Sí"),"Correo sin respuesta","En plazo"))))</f>
        <v/>
      </c>
      <c r="U11" s="26" t="n"/>
    </row>
    <row r="12" ht="102.2" customHeight="1" s="17">
      <c r="A12" s="21" t="n">
        <v>11</v>
      </c>
      <c r="B12" s="22" t="inlineStr">
        <is>
          <t>Banco de Chile</t>
        </is>
      </c>
      <c r="C12" s="22" t="inlineStr">
        <is>
          <t>Banca</t>
        </is>
      </c>
      <c r="D12" s="22" t="inlineStr">
        <is>
          <t>Banco de Chile</t>
        </is>
      </c>
      <c r="E12" s="22" t="inlineStr">
        <is>
          <t>97.004.000-5</t>
        </is>
      </c>
      <c r="F12" s="22" t="inlineStr">
        <is>
          <t>protecciondatos@bancochile.cl</t>
        </is>
      </c>
      <c r="G12" s="22" t="n"/>
      <c r="H12" s="22" t="inlineStr">
        <is>
          <t>Consent (incl. for commercial/marketing purposes) can be revoked at any time 'por los canales establecidos por el Banco'; policy also refers to a 'Derechos ARCO' channel on the bank website (no direct URL given). Email listed is for the Delegado/Gerente de Protección de Datos.</t>
        </is>
      </c>
      <c r="I12" s="22" t="inlineStr">
        <is>
          <t>'Derechos ARCO' channel on bancochile.cl website</t>
        </is>
      </c>
      <c r="J12" s="23" t="inlineStr">
        <is>
          <t>https://sitiospublicos.bancochile.cl/personas/politica-de-privacidad</t>
        </is>
      </c>
      <c r="K12" s="22" t="inlineStr">
        <is>
          <t>Correo</t>
        </is>
      </c>
      <c r="L12" s="24" t="n"/>
      <c r="M12" s="25">
        <f>IF(L12="","",WORKDAY(L12,2,Feriados!$A$2:$A$60))</f>
        <v/>
      </c>
      <c r="N12" s="26" t="n"/>
      <c r="O12" s="24" t="n"/>
      <c r="P12" s="26" t="n"/>
      <c r="Q12" s="25">
        <f>IF(O12="","",WORKDAY(O12,7,Feriados!$A$2:$A$60))</f>
        <v/>
      </c>
      <c r="R12" s="26" t="n"/>
      <c r="S12" s="24" t="n"/>
      <c r="T12" s="22">
        <f>IF(AND(L12="",O12=""),"Por enviar",IF(R12="Sí",IF(S12="","Reportar incumplimiento","Incumplimiento reportado"),IF(AND(Q12&lt;&gt;"",TODAY()&gt;Q12),"Plazo vencido – verificar",IF(AND(M12&lt;&gt;"",TODAY()&gt;M12,N12&lt;&gt;"Sí"),"Correo sin respuesta","En plazo"))))</f>
        <v/>
      </c>
      <c r="U12" s="26" t="n"/>
    </row>
    <row r="13" ht="102.2" customHeight="1" s="17">
      <c r="A13" s="21" t="n">
        <v>12</v>
      </c>
      <c r="B13" s="22" t="inlineStr">
        <is>
          <t>BancoEstado</t>
        </is>
      </c>
      <c r="C13" s="22" t="inlineStr">
        <is>
          <t>Banca</t>
        </is>
      </c>
      <c r="D13" s="22" t="n"/>
      <c r="E13" s="22" t="n"/>
      <c r="F13" s="22" t="n"/>
      <c r="G13" s="22" t="n"/>
      <c r="H13" s="22" t="inlineStr">
        <is>
          <t>Contract text: authorization may be revoked and rights of acceso, oposición, información, modificación y cancelación exercised at any time at the Servicio de Atención al Cliente in branches or via the bank's contact channels (www.bancoestado.cl or phone 600 200 7000).</t>
        </is>
      </c>
      <c r="I13" s="22" t="inlineStr">
        <is>
          <t>Teléfono 600 200 7000; Servicio de Atención al Cliente en sucursales; www.bancoestado.cl</t>
        </is>
      </c>
      <c r="J13" s="23" t="inlineStr">
        <is>
          <t>https://www.bancoestado.cl/content/dam/bancoestado-public/pdf/contratos-productos/cuentas/Cuenta_Corriente_Digital.pdf</t>
        </is>
      </c>
      <c r="K13" s="22" t="inlineStr">
        <is>
          <t>Canal alternativo</t>
        </is>
      </c>
      <c r="L13" s="24" t="n"/>
      <c r="M13" s="25">
        <f>IF(L13="","",WORKDAY(L13,2,Feriados!$A$2:$A$60))</f>
        <v/>
      </c>
      <c r="N13" s="26" t="n"/>
      <c r="O13" s="24" t="n"/>
      <c r="P13" s="26" t="n"/>
      <c r="Q13" s="25">
        <f>IF(O13="","",WORKDAY(O13,7,Feriados!$A$2:$A$60))</f>
        <v/>
      </c>
      <c r="R13" s="26" t="n"/>
      <c r="S13" s="24" t="n"/>
      <c r="T13" s="22">
        <f>IF(AND(L13="",O13=""),"Por enviar",IF(R13="Sí",IF(S13="","Reportar incumplimiento","Incumplimiento reportado"),IF(AND(Q13&lt;&gt;"",TODAY()&gt;Q13),"Plazo vencido – verificar",IF(AND(M13&lt;&gt;"",TODAY()&gt;M13,N13&lt;&gt;"Sí"),"Correo sin respuesta","En plazo"))))</f>
        <v/>
      </c>
      <c r="U13" s="26" t="n"/>
    </row>
    <row r="14" ht="57.45" customHeight="1" s="17">
      <c r="A14" s="21" t="n">
        <v>13</v>
      </c>
      <c r="B14" s="22" t="inlineStr">
        <is>
          <t>Banco Santander Chile</t>
        </is>
      </c>
      <c r="C14" s="22" t="inlineStr">
        <is>
          <t>Banca</t>
        </is>
      </c>
      <c r="D14" s="22" t="inlineStr">
        <is>
          <t>Banco Santander Chile</t>
        </is>
      </c>
      <c r="E14" s="22" t="inlineStr">
        <is>
          <t>97.036.000-K</t>
        </is>
      </c>
      <c r="F14" s="22" t="inlineStr">
        <is>
          <t>derechosarco@santander.cl</t>
        </is>
      </c>
      <c r="G14" s="22" t="n"/>
      <c r="H14" s="22" t="inlineStr">
        <is>
          <t>Right of opposition (oposición) applies when data are used for commercial communications; exercised by email to derechosarco@santander.cl.</t>
        </is>
      </c>
      <c r="I14" s="22" t="inlineStr">
        <is>
          <t>Teléfono 600 320 3000</t>
        </is>
      </c>
      <c r="J14" s="23" t="inlineStr">
        <is>
          <t>https://banco.santander.cl/personas/politica-de-privacidad-portal-santander</t>
        </is>
      </c>
      <c r="K14" s="22" t="inlineStr">
        <is>
          <t>Correo</t>
        </is>
      </c>
      <c r="L14" s="24" t="n"/>
      <c r="M14" s="25">
        <f>IF(L14="","",WORKDAY(L14,2,Feriados!$A$2:$A$60))</f>
        <v/>
      </c>
      <c r="N14" s="26" t="n"/>
      <c r="O14" s="24" t="n"/>
      <c r="P14" s="26" t="n"/>
      <c r="Q14" s="25">
        <f>IF(O14="","",WORKDAY(O14,7,Feriados!$A$2:$A$60))</f>
        <v/>
      </c>
      <c r="R14" s="26" t="n"/>
      <c r="S14" s="24" t="n"/>
      <c r="T14" s="22">
        <f>IF(AND(L14="",O14=""),"Por enviar",IF(R14="Sí",IF(S14="","Reportar incumplimiento","Incumplimiento reportado"),IF(AND(Q14&lt;&gt;"",TODAY()&gt;Q14),"Plazo vencido – verificar",IF(AND(M14&lt;&gt;"",TODAY()&gt;M14,N14&lt;&gt;"Sí"),"Correo sin respuesta","En plazo"))))</f>
        <v/>
      </c>
      <c r="U14" s="26" t="n"/>
    </row>
    <row r="15" ht="68.65000000000001" customHeight="1" s="17">
      <c r="A15" s="21" t="n">
        <v>14</v>
      </c>
      <c r="B15" s="22" t="inlineStr">
        <is>
          <t>Bci</t>
        </is>
      </c>
      <c r="C15" s="22" t="inlineStr">
        <is>
          <t>Banca</t>
        </is>
      </c>
      <c r="D15" s="22" t="inlineStr">
        <is>
          <t>Banco de Crédito e Inversiones S.A.</t>
        </is>
      </c>
      <c r="E15" s="22" t="inlineStr">
        <is>
          <t>97.006.000-6</t>
        </is>
      </c>
      <c r="F15" s="22" t="inlineStr">
        <is>
          <t>privacidad@bci.cl</t>
        </is>
      </c>
      <c r="G15" s="22" t="n"/>
      <c r="H15" s="22" t="inlineStr">
        <is>
          <t>Titular may request blocking (bloqueo) of their data if they do not wish to receive direct marketing (per Bci privacy policy); rights under art. 12 Ley 19.628 exercised via privacidad@bci.cl.</t>
        </is>
      </c>
      <c r="I15" s="22" t="inlineStr">
        <is>
          <t>Banca Telefónica 600 692 8000; https://www.bci.cl/corporativo/servicio-al-cliente</t>
        </is>
      </c>
      <c r="J15" s="23" t="inlineStr">
        <is>
          <t>https://www.bci.cl/corporativo/politicas-y-normas/politicas-de-privacidad</t>
        </is>
      </c>
      <c r="K15" s="22" t="inlineStr">
        <is>
          <t>Correo</t>
        </is>
      </c>
      <c r="L15" s="24" t="n"/>
      <c r="M15" s="25">
        <f>IF(L15="","",WORKDAY(L15,2,Feriados!$A$2:$A$60))</f>
        <v/>
      </c>
      <c r="N15" s="26" t="n"/>
      <c r="O15" s="24" t="n"/>
      <c r="P15" s="26" t="n"/>
      <c r="Q15" s="25">
        <f>IF(O15="","",WORKDAY(O15,7,Feriados!$A$2:$A$60))</f>
        <v/>
      </c>
      <c r="R15" s="26" t="n"/>
      <c r="S15" s="24" t="n"/>
      <c r="T15" s="22">
        <f>IF(AND(L15="",O15=""),"Por enviar",IF(R15="Sí",IF(S15="","Reportar incumplimiento","Incumplimiento reportado"),IF(AND(Q15&lt;&gt;"",TODAY()&gt;Q15),"Plazo vencido – verificar",IF(AND(M15&lt;&gt;"",TODAY()&gt;M15,N15&lt;&gt;"Sí"),"Correo sin respuesta","En plazo"))))</f>
        <v/>
      </c>
      <c r="U15" s="26" t="n"/>
    </row>
    <row r="16" ht="91" customHeight="1" s="17">
      <c r="A16" s="21" t="n">
        <v>15</v>
      </c>
      <c r="B16" s="22" t="inlineStr">
        <is>
          <t>Scotiabank Chile</t>
        </is>
      </c>
      <c r="C16" s="22" t="inlineStr">
        <is>
          <t>Banca</t>
        </is>
      </c>
      <c r="D16" s="22" t="inlineStr">
        <is>
          <t>Banco Scotiabank</t>
        </is>
      </c>
      <c r="E16" s="22" t="inlineStr">
        <is>
          <t>97.018.000-1</t>
        </is>
      </c>
      <c r="F16" s="22" t="inlineStr">
        <is>
          <t>consultasprivacidad@contacto.scotiabank.cl</t>
        </is>
      </c>
      <c r="G16" s="22" t="n"/>
      <c r="H16" s="22" t="inlineStr">
        <is>
          <t>Customer may ask the bank at any time to stop using their information for promotional purposes (Privacidad y Cookies page); no specific channel given. Email above is stated for general privacy-policy questions, not explicitly for ARCO requests.</t>
        </is>
      </c>
      <c r="I16" s="22" t="inlineStr">
        <is>
          <t>Centro de Experiencia 600 600 1100; branches</t>
        </is>
      </c>
      <c r="J16" s="23" t="inlineStr">
        <is>
          <t>https://www.scotiabankchile.cl/Personas/politica-de-privacidad</t>
        </is>
      </c>
      <c r="K16" s="22" t="inlineStr">
        <is>
          <t>Correo</t>
        </is>
      </c>
      <c r="L16" s="24" t="n"/>
      <c r="M16" s="25">
        <f>IF(L16="","",WORKDAY(L16,2,Feriados!$A$2:$A$60))</f>
        <v/>
      </c>
      <c r="N16" s="26" t="n"/>
      <c r="O16" s="24" t="n"/>
      <c r="P16" s="26" t="n"/>
      <c r="Q16" s="25">
        <f>IF(O16="","",WORKDAY(O16,7,Feriados!$A$2:$A$60))</f>
        <v/>
      </c>
      <c r="R16" s="26" t="n"/>
      <c r="S16" s="24" t="n"/>
      <c r="T16" s="22">
        <f>IF(AND(L16="",O16=""),"Por enviar",IF(R16="Sí",IF(S16="","Reportar incumplimiento","Incumplimiento reportado"),IF(AND(Q16&lt;&gt;"",TODAY()&gt;Q16),"Plazo vencido – verificar",IF(AND(M16&lt;&gt;"",TODAY()&gt;M16,N16&lt;&gt;"Sí"),"Correo sin respuesta","En plazo"))))</f>
        <v/>
      </c>
      <c r="U16" s="26" t="n"/>
    </row>
    <row r="17" ht="57.45" customHeight="1" s="17">
      <c r="A17" s="21" t="n">
        <v>16</v>
      </c>
      <c r="B17" s="22" t="inlineStr">
        <is>
          <t>Itaú Chile</t>
        </is>
      </c>
      <c r="C17" s="22" t="inlineStr">
        <is>
          <t>Banca</t>
        </is>
      </c>
      <c r="D17" s="22" t="inlineStr">
        <is>
          <t>Banco Itaú Chile</t>
        </is>
      </c>
      <c r="E17" s="22" t="inlineStr">
        <is>
          <t>97.023.000-9</t>
        </is>
      </c>
      <c r="F17" s="22" t="inlineStr">
        <is>
          <t>oficialprotecciondedatos@itau.cl</t>
        </is>
      </c>
      <c r="G17" s="22" t="n"/>
      <c r="H17" s="22" t="inlineStr">
        <is>
          <t>No specific marketing opt-out described; rights requests (incl. oposición) must be submitted in writing to oficialprotecciondedatos@itau.cl.</t>
        </is>
      </c>
      <c r="I17" s="22" t="n"/>
      <c r="J17" s="23" t="inlineStr">
        <is>
          <t>https://www.itau.cl/personas/terminos-de-uso-y-politicas-de-privacidad</t>
        </is>
      </c>
      <c r="K17" s="22" t="inlineStr">
        <is>
          <t>Correo</t>
        </is>
      </c>
      <c r="L17" s="24" t="n"/>
      <c r="M17" s="25">
        <f>IF(L17="","",WORKDAY(L17,2,Feriados!$A$2:$A$60))</f>
        <v/>
      </c>
      <c r="N17" s="26" t="n"/>
      <c r="O17" s="24" t="n"/>
      <c r="P17" s="26" t="n"/>
      <c r="Q17" s="25">
        <f>IF(O17="","",WORKDAY(O17,7,Feriados!$A$2:$A$60))</f>
        <v/>
      </c>
      <c r="R17" s="26" t="n"/>
      <c r="S17" s="24" t="n"/>
      <c r="T17" s="22">
        <f>IF(AND(L17="",O17=""),"Por enviar",IF(R17="Sí",IF(S17="","Reportar incumplimiento","Incumplimiento reportado"),IF(AND(Q17&lt;&gt;"",TODAY()&gt;Q17),"Plazo vencido – verificar",IF(AND(M17&lt;&gt;"",TODAY()&gt;M17,N17&lt;&gt;"Sí"),"Correo sin respuesta","En plazo"))))</f>
        <v/>
      </c>
      <c r="U17" s="26" t="n"/>
    </row>
    <row r="18" ht="46.25" customHeight="1" s="17">
      <c r="A18" s="21" t="n">
        <v>17</v>
      </c>
      <c r="B18" s="22" t="inlineStr">
        <is>
          <t>Banco BICE</t>
        </is>
      </c>
      <c r="C18" s="22" t="inlineStr">
        <is>
          <t>Banca</t>
        </is>
      </c>
      <c r="D18" s="22" t="n"/>
      <c r="E18" s="22" t="n"/>
      <c r="F18" s="22" t="n"/>
      <c r="G18" s="22" t="n"/>
      <c r="H18" s="22" t="inlineStr">
        <is>
          <t>Policy states the titular may express at any time their wish not to authorize use of their personal data; no specific channel given.</t>
        </is>
      </c>
      <c r="I18" s="22" t="inlineStr">
        <is>
          <t>Formulario de contacto, Servicio al cliente: https://banco.bice.cl/personas/servicio-al-cliente</t>
        </is>
      </c>
      <c r="J18" s="23" t="inlineStr">
        <is>
          <t>https://banco.bice.cl/personas/politica-de-privacidad</t>
        </is>
      </c>
      <c r="K18" s="22" t="inlineStr">
        <is>
          <t>Canal alternativo</t>
        </is>
      </c>
      <c r="L18" s="24" t="n"/>
      <c r="M18" s="25">
        <f>IF(L18="","",WORKDAY(L18,2,Feriados!$A$2:$A$60))</f>
        <v/>
      </c>
      <c r="N18" s="26" t="n"/>
      <c r="O18" s="24" t="n"/>
      <c r="P18" s="26" t="n"/>
      <c r="Q18" s="25">
        <f>IF(O18="","",WORKDAY(O18,7,Feriados!$A$2:$A$60))</f>
        <v/>
      </c>
      <c r="R18" s="26" t="n"/>
      <c r="S18" s="24" t="n"/>
      <c r="T18" s="22">
        <f>IF(AND(L18="",O18=""),"Por enviar",IF(R18="Sí",IF(S18="","Reportar incumplimiento","Incumplimiento reportado"),IF(AND(Q18&lt;&gt;"",TODAY()&gt;Q18),"Plazo vencido – verificar",IF(AND(M18&lt;&gt;"",TODAY()&gt;M18,N18&lt;&gt;"Sí"),"Correo sin respuesta","En plazo"))))</f>
        <v/>
      </c>
      <c r="U18" s="26" t="n"/>
    </row>
    <row r="19" ht="124.6" customHeight="1" s="17">
      <c r="A19" s="21" t="n">
        <v>18</v>
      </c>
      <c r="B19" s="22" t="inlineStr">
        <is>
          <t>Banco Security</t>
        </is>
      </c>
      <c r="C19" s="22" t="inlineStr">
        <is>
          <t>Banca</t>
        </is>
      </c>
      <c r="D19" s="22" t="n"/>
      <c r="E19" s="22" t="n"/>
      <c r="F19" s="22" t="n"/>
      <c r="G19" s="22" t="n"/>
      <c r="H19" s="22" t="n"/>
      <c r="I19" s="22" t="inlineStr">
        <is>
          <t>Servicio Atención Clientes Security +56 2 2584 4060; Solicitud de contacto: https://personas.bancosecurity.cl/servicio-al-cliente/solicitud-de-contacto. Note: privacy page has a contact email in section 'VII. Contacto' but it is Cloudflare-obfuscated and could not be read; page also states 'Banco Security es una marca de Banco BICE'.</t>
        </is>
      </c>
      <c r="J19" s="23" t="inlineStr">
        <is>
          <t>https://personas.bancosecurity.cl/informacion-al-cliente/politica-de-privacidad</t>
        </is>
      </c>
      <c r="K19" s="22" t="inlineStr">
        <is>
          <t>Canal alternativo</t>
        </is>
      </c>
      <c r="L19" s="24" t="n"/>
      <c r="M19" s="25">
        <f>IF(L19="","",WORKDAY(L19,2,Feriados!$A$2:$A$60))</f>
        <v/>
      </c>
      <c r="N19" s="26" t="n"/>
      <c r="O19" s="24" t="n"/>
      <c r="P19" s="26" t="n"/>
      <c r="Q19" s="25">
        <f>IF(O19="","",WORKDAY(O19,7,Feriados!$A$2:$A$60))</f>
        <v/>
      </c>
      <c r="R19" s="26" t="n"/>
      <c r="S19" s="24" t="n"/>
      <c r="T19" s="22">
        <f>IF(AND(L19="",O19=""),"Por enviar",IF(R19="Sí",IF(S19="","Reportar incumplimiento","Incumplimiento reportado"),IF(AND(Q19&lt;&gt;"",TODAY()&gt;Q19),"Plazo vencido – verificar",IF(AND(M19&lt;&gt;"",TODAY()&gt;M19,N19&lt;&gt;"Sí"),"Correo sin respuesta","En plazo"))))</f>
        <v/>
      </c>
      <c r="U19" s="26" t="n"/>
    </row>
    <row r="20" ht="91" customHeight="1" s="17">
      <c r="A20" s="21" t="n">
        <v>19</v>
      </c>
      <c r="B20" s="22" t="inlineStr">
        <is>
          <t>Banco Falabella</t>
        </is>
      </c>
      <c r="C20" s="22" t="inlineStr">
        <is>
          <t>Banca</t>
        </is>
      </c>
      <c r="D20" s="22" t="n"/>
      <c r="E20" s="22" t="n"/>
      <c r="F20" s="22" t="inlineStr">
        <is>
          <t>datospersonalesbfcl@bancofalabella.cl</t>
        </is>
      </c>
      <c r="G20" s="22" t="n"/>
      <c r="H20" s="22" t="inlineStr">
        <is>
          <t>Suspensión de comunicaciones promocionales: use the unsubscribe channel in the communication itself, or the channels provided by the Company or SERNAC. Rights also exercisable via forms in the Company's digital channels or in person at branches.</t>
        </is>
      </c>
      <c r="I20" s="22" t="inlineStr">
        <is>
          <t>WhatsApp +56 2 2390 6000; https://www.bancofalabella.cl/ayuda-contacto</t>
        </is>
      </c>
      <c r="J20" s="23" t="inlineStr">
        <is>
          <t>https://www.bancofalabella.cl/politicas-privacidad</t>
        </is>
      </c>
      <c r="K20" s="22" t="inlineStr">
        <is>
          <t>Correo</t>
        </is>
      </c>
      <c r="L20" s="24" t="n"/>
      <c r="M20" s="25">
        <f>IF(L20="","",WORKDAY(L20,2,Feriados!$A$2:$A$60))</f>
        <v/>
      </c>
      <c r="N20" s="26" t="n"/>
      <c r="O20" s="24" t="n"/>
      <c r="P20" s="26" t="n"/>
      <c r="Q20" s="25">
        <f>IF(O20="","",WORKDAY(O20,7,Feriados!$A$2:$A$60))</f>
        <v/>
      </c>
      <c r="R20" s="26" t="n"/>
      <c r="S20" s="24" t="n"/>
      <c r="T20" s="22">
        <f>IF(AND(L20="",O20=""),"Por enviar",IF(R20="Sí",IF(S20="","Reportar incumplimiento","Incumplimiento reportado"),IF(AND(Q20&lt;&gt;"",TODAY()&gt;Q20),"Plazo vencido – verificar",IF(AND(M20&lt;&gt;"",TODAY()&gt;M20,N20&lt;&gt;"Sí"),"Correo sin respuesta","En plazo"))))</f>
        <v/>
      </c>
      <c r="U20" s="26" t="n"/>
    </row>
    <row r="21" ht="46.25" customHeight="1" s="17">
      <c r="A21" s="21" t="n">
        <v>20</v>
      </c>
      <c r="B21" s="22" t="inlineStr">
        <is>
          <t>Banco Ripley</t>
        </is>
      </c>
      <c r="C21" s="22" t="inlineStr">
        <is>
          <t>Banca</t>
        </is>
      </c>
      <c r="D21" s="22" t="inlineStr">
        <is>
          <t>Banco Ripley</t>
        </is>
      </c>
      <c r="E21" s="22" t="inlineStr">
        <is>
          <t>97.947.000-2</t>
        </is>
      </c>
      <c r="F21" s="22" t="n"/>
      <c r="G21" s="22" t="n"/>
      <c r="H21" s="22" t="inlineStr">
        <is>
          <t>Use the 'canales de desuscripción establecidos en el propio mensaje', or channels established by the Company or SERNAC.</t>
        </is>
      </c>
      <c r="I21" s="22" t="inlineStr">
        <is>
          <t>Teléfono / WhatsApp +56 2 2768 9200 (lun-sáb 9:00-21:00; dom y festivos 11:00-20:00); sucursales</t>
        </is>
      </c>
      <c r="J21" s="23" t="inlineStr">
        <is>
          <t>https://www.bancoripley.cl/pdf/politica-de-privacidad-banco-y-filiales.pdf</t>
        </is>
      </c>
      <c r="K21" s="22" t="inlineStr">
        <is>
          <t>Canal alternativo</t>
        </is>
      </c>
      <c r="L21" s="24" t="n"/>
      <c r="M21" s="25">
        <f>IF(L21="","",WORKDAY(L21,2,Feriados!$A$2:$A$60))</f>
        <v/>
      </c>
      <c r="N21" s="26" t="n"/>
      <c r="O21" s="24" t="n"/>
      <c r="P21" s="26" t="n"/>
      <c r="Q21" s="25">
        <f>IF(O21="","",WORKDAY(O21,7,Feriados!$A$2:$A$60))</f>
        <v/>
      </c>
      <c r="R21" s="26" t="n"/>
      <c r="S21" s="24" t="n"/>
      <c r="T21" s="22">
        <f>IF(AND(L21="",O21=""),"Por enviar",IF(R21="Sí",IF(S21="","Reportar incumplimiento","Incumplimiento reportado"),IF(AND(Q21&lt;&gt;"",TODAY()&gt;Q21),"Plazo vencido – verificar",IF(AND(M21&lt;&gt;"",TODAY()&gt;M21,N21&lt;&gt;"Sí"),"Correo sin respuesta","En plazo"))))</f>
        <v/>
      </c>
      <c r="U21" s="26" t="n"/>
    </row>
    <row r="22" ht="79.84999999999999" customHeight="1" s="17">
      <c r="A22" s="21" t="n">
        <v>21</v>
      </c>
      <c r="B22" s="22" t="inlineStr">
        <is>
          <t>CMR Falabella (Promotora CMR Falabella)</t>
        </is>
      </c>
      <c r="C22" s="22" t="inlineStr">
        <is>
          <t>Retail / tarjetas</t>
        </is>
      </c>
      <c r="D22" s="22" t="inlineStr">
        <is>
          <t>Promotora CMR Falabella S.A.</t>
        </is>
      </c>
      <c r="E22" s="22" t="inlineStr">
        <is>
          <t>90.743.000-6</t>
        </is>
      </c>
      <c r="F22" s="22" t="inlineStr">
        <is>
          <t>datospersonalesbfcl@bancofalabella.cl</t>
        </is>
      </c>
      <c r="G22" s="22" t="n"/>
      <c r="H22" s="22" t="inlineStr">
        <is>
          <t>Banco Falabella privacy policy (covers filial Promotora CMR Falabella): use the unsubscribe channel in each message, or the channels the company or SERNAC provide (e.g. SERNAC 'No Molestar').</t>
        </is>
      </c>
      <c r="I22" s="22" t="inlineStr">
        <is>
          <t>WhatsApp +56 2 2390 6000 (the ARCO channel named in the Banco Falabella y filiales privacy policy)</t>
        </is>
      </c>
      <c r="J22" s="23" t="inlineStr">
        <is>
          <t>https://www.cmrpuntos.cl/como-cuidamos-tus-datos</t>
        </is>
      </c>
      <c r="K22" s="22" t="inlineStr">
        <is>
          <t>Correo</t>
        </is>
      </c>
      <c r="L22" s="24" t="n"/>
      <c r="M22" s="25">
        <f>IF(L22="","",WORKDAY(L22,2,Feriados!$A$2:$A$60))</f>
        <v/>
      </c>
      <c r="N22" s="26" t="n"/>
      <c r="O22" s="24" t="n"/>
      <c r="P22" s="26" t="n"/>
      <c r="Q22" s="25">
        <f>IF(O22="","",WORKDAY(O22,7,Feriados!$A$2:$A$60))</f>
        <v/>
      </c>
      <c r="R22" s="26" t="n"/>
      <c r="S22" s="24" t="n"/>
      <c r="T22" s="22">
        <f>IF(AND(L22="",O22=""),"Por enviar",IF(R22="Sí",IF(S22="","Reportar incumplimiento","Incumplimiento reportado"),IF(AND(Q22&lt;&gt;"",TODAY()&gt;Q22),"Plazo vencido – verificar",IF(AND(M22&lt;&gt;"",TODAY()&gt;M22,N22&lt;&gt;"Sí"),"Correo sin respuesta","En plazo"))))</f>
        <v/>
      </c>
      <c r="U22" s="26" t="n"/>
    </row>
    <row r="23" ht="68.65000000000001" customHeight="1" s="17">
      <c r="A23" s="21" t="n">
        <v>22</v>
      </c>
      <c r="B23" s="22" t="inlineStr">
        <is>
          <t>Tarjeta Cencosud Scotiabank</t>
        </is>
      </c>
      <c r="C23" s="22" t="inlineStr">
        <is>
          <t>Retail / tarjetas</t>
        </is>
      </c>
      <c r="D23" s="22" t="inlineStr">
        <is>
          <t>CAT Administradora de Tarjetas S.A.</t>
        </is>
      </c>
      <c r="E23" s="22" t="inlineStr">
        <is>
          <t>99.500.840-8</t>
        </is>
      </c>
      <c r="F23" s="22" t="inlineStr">
        <is>
          <t>gestionatusdatos@cencosudscotiabank.cl</t>
        </is>
      </c>
      <c r="G23" s="22" t="n"/>
      <c r="H23" s="22" t="inlineStr">
        <is>
          <t>The declaration says a request to stop promotional messages sent electronically needs no justification and is handled within 3 business days. It names no dedicated channel.</t>
        </is>
      </c>
      <c r="I23" s="22" t="inlineStr">
        <is>
          <t>ARCO requests in person at any Cencosud Scotiabank financial branch, with ID (per the declaration). Customer service 600 450 5000 (landline) / 2 2604 5910 (mobile).</t>
        </is>
      </c>
      <c r="J23" s="23" t="inlineStr">
        <is>
          <t>https://staticresourcesfiles.blob.core.windows.net/content/web/static/906860754575773-6838258899856127-declaracion_de_privacidad_y_tratamiento_de_datos_personales_cat.pdf</t>
        </is>
      </c>
      <c r="K23" s="22" t="inlineStr">
        <is>
          <t>Correo</t>
        </is>
      </c>
      <c r="L23" s="24" t="n"/>
      <c r="M23" s="25">
        <f>IF(L23="","",WORKDAY(L23,2,Feriados!$A$2:$A$60))</f>
        <v/>
      </c>
      <c r="N23" s="26" t="n"/>
      <c r="O23" s="24" t="n"/>
      <c r="P23" s="26" t="n"/>
      <c r="Q23" s="25">
        <f>IF(O23="","",WORKDAY(O23,7,Feriados!$A$2:$A$60))</f>
        <v/>
      </c>
      <c r="R23" s="26" t="n"/>
      <c r="S23" s="24" t="n"/>
      <c r="T23" s="22">
        <f>IF(AND(L23="",O23=""),"Por enviar",IF(R23="Sí",IF(S23="","Reportar incumplimiento","Incumplimiento reportado"),IF(AND(Q23&lt;&gt;"",TODAY()&gt;Q23),"Plazo vencido – verificar",IF(AND(M23&lt;&gt;"",TODAY()&gt;M23,N23&lt;&gt;"Sí"),"Correo sin respuesta","En plazo"))))</f>
        <v/>
      </c>
      <c r="U23" s="26" t="n"/>
    </row>
    <row r="24" ht="57.45" customHeight="1" s="17">
      <c r="A24" s="21" t="n">
        <v>23</v>
      </c>
      <c r="B24" s="22" t="inlineStr">
        <is>
          <t>Tarjeta Ripley (CAR S.A.)</t>
        </is>
      </c>
      <c r="C24" s="22" t="inlineStr">
        <is>
          <t>Retail / tarjetas</t>
        </is>
      </c>
      <c r="D24" s="22" t="inlineStr">
        <is>
          <t>CAR S.A.</t>
        </is>
      </c>
      <c r="E24" s="22" t="inlineStr">
        <is>
          <t>83.187.800-2</t>
        </is>
      </c>
      <c r="F24" s="22" t="n"/>
      <c r="G24" s="22" t="n"/>
      <c r="H24" s="22" t="inlineStr">
        <is>
          <t>Use the unsubscribe channel in the message itself, or the channels the company or SERNAC provide.</t>
        </is>
      </c>
      <c r="I24" s="22" t="inlineStr">
        <is>
          <t>Phone +56 2 2768 9200 or WhatsApp to the same number (Mon-Sat 09:00-21:00, Sun/holidays 11:00-20:00); this is the ARCO channel named in the policy.</t>
        </is>
      </c>
      <c r="J24" s="23" t="inlineStr">
        <is>
          <t>https://www.bancoripley.cl/pdf/politica-de-privacidad-banco-y-filiales.pdf</t>
        </is>
      </c>
      <c r="K24" s="22" t="inlineStr">
        <is>
          <t>Canal alternativo</t>
        </is>
      </c>
      <c r="L24" s="24" t="n"/>
      <c r="M24" s="25">
        <f>IF(L24="","",WORKDAY(L24,2,Feriados!$A$2:$A$60))</f>
        <v/>
      </c>
      <c r="N24" s="26" t="n"/>
      <c r="O24" s="24" t="n"/>
      <c r="P24" s="26" t="n"/>
      <c r="Q24" s="25">
        <f>IF(O24="","",WORKDAY(O24,7,Feriados!$A$2:$A$60))</f>
        <v/>
      </c>
      <c r="R24" s="26" t="n"/>
      <c r="S24" s="24" t="n"/>
      <c r="T24" s="22">
        <f>IF(AND(L24="",O24=""),"Por enviar",IF(R24="Sí",IF(S24="","Reportar incumplimiento","Incumplimiento reportado"),IF(AND(Q24&lt;&gt;"",TODAY()&gt;Q24),"Plazo vencido – verificar",IF(AND(M24&lt;&gt;"",TODAY()&gt;M24,N24&lt;&gt;"Sí"),"Correo sin respuesta","En plazo"))))</f>
        <v/>
      </c>
      <c r="U24" s="26" t="n"/>
    </row>
    <row r="25" ht="79.84999999999999" customHeight="1" s="17">
      <c r="A25" s="21" t="n">
        <v>24</v>
      </c>
      <c r="B25" s="22" t="inlineStr">
        <is>
          <t>Tarjeta Lider Bci (Servicios Financieros Walmart/Bci)</t>
        </is>
      </c>
      <c r="C25" s="22" t="inlineStr">
        <is>
          <t>Retail / tarjetas</t>
        </is>
      </c>
      <c r="D25" s="22" t="inlineStr">
        <is>
          <t>Servicios Financieros y Administración de Créditos Comerciales S.A. (issuer); Administradora de Tarjetas Servicios Financieros Limitada (RUT 96.867.130-8, administrator)</t>
        </is>
      </c>
      <c r="E25" s="22" t="inlineStr">
        <is>
          <t>77.085.380-K</t>
        </is>
      </c>
      <c r="F25" s="22" t="inlineStr">
        <is>
          <t>servicioalcliente@ssff.cl</t>
        </is>
      </c>
      <c r="G25" s="22" t="n"/>
      <c r="H25" s="22" t="inlineStr">
        <is>
          <t>SMS: in the SMS itself. Email: in the email itself. Phone calls: by phone. Postal mail: call 600 600 5757. You can also call 600 600 5757 to be excluded from any or all channels. The policy says it honors the SERNAC 'No Molestar' list.</t>
        </is>
      </c>
      <c r="I25" s="22" t="inlineStr">
        <is>
          <t>600 600 5757. The same policy also lists servicioalcliente@liderbci.cl as the 'Gerencia de Clientes' contact for the database controller.</t>
        </is>
      </c>
      <c r="J25" s="23" t="inlineStr">
        <is>
          <t>https://www.liderbci.cl/politica-de-privacidad</t>
        </is>
      </c>
      <c r="K25" s="22" t="inlineStr">
        <is>
          <t>Correo</t>
        </is>
      </c>
      <c r="L25" s="24" t="n"/>
      <c r="M25" s="25">
        <f>IF(L25="","",WORKDAY(L25,2,Feriados!$A$2:$A$60))</f>
        <v/>
      </c>
      <c r="N25" s="26" t="n"/>
      <c r="O25" s="24" t="n"/>
      <c r="P25" s="26" t="n"/>
      <c r="Q25" s="25">
        <f>IF(O25="","",WORKDAY(O25,7,Feriados!$A$2:$A$60))</f>
        <v/>
      </c>
      <c r="R25" s="26" t="n"/>
      <c r="S25" s="24" t="n"/>
      <c r="T25" s="22">
        <f>IF(AND(L25="",O25=""),"Por enviar",IF(R25="Sí",IF(S25="","Reportar incumplimiento","Incumplimiento reportado"),IF(AND(Q25&lt;&gt;"",TODAY()&gt;Q25),"Plazo vencido – verificar",IF(AND(M25&lt;&gt;"",TODAY()&gt;M25,N25&lt;&gt;"Sí"),"Correo sin respuesta","En plazo"))))</f>
        <v/>
      </c>
      <c r="U25" s="26" t="n"/>
    </row>
    <row r="26" ht="57.45" customHeight="1" s="17">
      <c r="A26" s="21" t="n">
        <v>25</v>
      </c>
      <c r="B26" s="22" t="inlineStr">
        <is>
          <t>Tarjeta La Polar</t>
        </is>
      </c>
      <c r="C26" s="22" t="inlineStr">
        <is>
          <t>Retail / tarjetas</t>
        </is>
      </c>
      <c r="D26" s="22" t="inlineStr">
        <is>
          <t>abc (antes Empresas La Polar S.A.)</t>
        </is>
      </c>
      <c r="E26" s="22" t="n"/>
      <c r="F26" s="22" t="n"/>
      <c r="G26" s="22" t="n"/>
      <c r="H26" s="22" t="inlineStr">
        <is>
          <t>The terms say you have the right to object to processing for marketing purposes. No specific channel is given beyond in-store or customer service.</t>
        </is>
      </c>
      <c r="I26" s="22" t="inlineStr">
        <is>
          <t>Data rights in person at stores or through customer service (per abc.cl T&amp;C sec. 12). Tarjeta abc/La Polar customer service: 600 830 2222, WhatsApp +56 9 9885 7500.</t>
        </is>
      </c>
      <c r="J26" s="23" t="inlineStr">
        <is>
          <t>https://www.abc.cl/terminos-y-condiciones.html</t>
        </is>
      </c>
      <c r="K26" s="22" t="inlineStr">
        <is>
          <t>Canal alternativo</t>
        </is>
      </c>
      <c r="L26" s="24" t="n"/>
      <c r="M26" s="25">
        <f>IF(L26="","",WORKDAY(L26,2,Feriados!$A$2:$A$60))</f>
        <v/>
      </c>
      <c r="N26" s="26" t="n"/>
      <c r="O26" s="24" t="n"/>
      <c r="P26" s="26" t="n"/>
      <c r="Q26" s="25">
        <f>IF(O26="","",WORKDAY(O26,7,Feriados!$A$2:$A$60))</f>
        <v/>
      </c>
      <c r="R26" s="26" t="n"/>
      <c r="S26" s="24" t="n"/>
      <c r="T26" s="22">
        <f>IF(AND(L26="",O26=""),"Por enviar",IF(R26="Sí",IF(S26="","Reportar incumplimiento","Incumplimiento reportado"),IF(AND(Q26&lt;&gt;"",TODAY()&gt;Q26),"Plazo vencido – verificar",IF(AND(M26&lt;&gt;"",TODAY()&gt;M26,N26&lt;&gt;"Sí"),"Correo sin respuesta","En plazo"))))</f>
        <v/>
      </c>
      <c r="U26" s="26" t="n"/>
    </row>
    <row r="27" ht="57.45" customHeight="1" s="17">
      <c r="A27" s="21" t="n">
        <v>26</v>
      </c>
      <c r="B27" s="22" t="inlineStr">
        <is>
          <t>Tarjeta Hites</t>
        </is>
      </c>
      <c r="C27" s="22" t="inlineStr">
        <is>
          <t>Retail / tarjetas</t>
        </is>
      </c>
      <c r="D27" s="22" t="inlineStr">
        <is>
          <t>Inversiones y Tarjetas S.A.</t>
        </is>
      </c>
      <c r="E27" s="22" t="inlineStr">
        <is>
          <t>85.325.100-3</t>
        </is>
      </c>
      <c r="F27" s="22" t="n"/>
      <c r="G27" s="22" t="n"/>
      <c r="H27" s="22" t="inlineStr">
        <is>
          <t>Every promotional message must include an expedited way to request suspension. Consent can be revoked 'a través de los canales dispuestos por la empresa'.</t>
        </is>
      </c>
      <c r="I27" s="22" t="inlineStr">
        <is>
          <t>Changes to personal data go through the 'departamento de relaciones comerciales de las Tiendas Hites' (in store). Hites contact center: 600 550 6000.</t>
        </is>
      </c>
      <c r="J27" s="23" t="inlineStr">
        <is>
          <t>https://tarjetahites.cl/politicas-privacidad-app/</t>
        </is>
      </c>
      <c r="K27" s="22" t="inlineStr">
        <is>
          <t>Canal alternativo</t>
        </is>
      </c>
      <c r="L27" s="24" t="n"/>
      <c r="M27" s="25">
        <f>IF(L27="","",WORKDAY(L27,2,Feriados!$A$2:$A$60))</f>
        <v/>
      </c>
      <c r="N27" s="26" t="n"/>
      <c r="O27" s="24" t="n"/>
      <c r="P27" s="26" t="n"/>
      <c r="Q27" s="25">
        <f>IF(O27="","",WORKDAY(O27,7,Feriados!$A$2:$A$60))</f>
        <v/>
      </c>
      <c r="R27" s="26" t="n"/>
      <c r="S27" s="24" t="n"/>
      <c r="T27" s="22">
        <f>IF(AND(L27="",O27=""),"Por enviar",IF(R27="Sí",IF(S27="","Reportar incumplimiento","Incumplimiento reportado"),IF(AND(Q27&lt;&gt;"",TODAY()&gt;Q27),"Plazo vencido – verificar",IF(AND(M27&lt;&gt;"",TODAY()&gt;M27,N27&lt;&gt;"Sí"),"Correo sin respuesta","En plazo"))))</f>
        <v/>
      </c>
      <c r="U27" s="26" t="n"/>
    </row>
    <row r="28" ht="57.45" customHeight="1" s="17">
      <c r="A28" s="21" t="n">
        <v>27</v>
      </c>
      <c r="B28" s="22" t="inlineStr">
        <is>
          <t>Tarjeta abcvisa / Solventa (abcdin)</t>
        </is>
      </c>
      <c r="C28" s="22" t="inlineStr">
        <is>
          <t>Retail / tarjetas</t>
        </is>
      </c>
      <c r="D28" s="22" t="n"/>
      <c r="E28" s="22" t="n"/>
      <c r="F28" s="22" t="n"/>
      <c r="G28" s="22" t="n"/>
      <c r="H28" s="22" t="inlineStr">
        <is>
          <t>The abc.cl terms say you have the right to object to processing for marketing purposes. No dedicated channel is given.</t>
        </is>
      </c>
      <c r="I28" s="22" t="inlineStr">
        <is>
          <t>Data rights in person at abc stores or through customer service (abc.cl T&amp;C sec. 12). Tarjeta abc customer service: 600 830 2222, WhatsApp +56 9 9885 7500.</t>
        </is>
      </c>
      <c r="J28" s="23" t="inlineStr">
        <is>
          <t>https://www.abc.cl/terminos-y-condiciones.html</t>
        </is>
      </c>
      <c r="K28" s="22" t="inlineStr">
        <is>
          <t>Canal alternativo</t>
        </is>
      </c>
      <c r="L28" s="24" t="n"/>
      <c r="M28" s="25">
        <f>IF(L28="","",WORKDAY(L28,2,Feriados!$A$2:$A$60))</f>
        <v/>
      </c>
      <c r="N28" s="26" t="n"/>
      <c r="O28" s="24" t="n"/>
      <c r="P28" s="26" t="n"/>
      <c r="Q28" s="25">
        <f>IF(O28="","",WORKDAY(O28,7,Feriados!$A$2:$A$60))</f>
        <v/>
      </c>
      <c r="R28" s="26" t="n"/>
      <c r="S28" s="24" t="n"/>
      <c r="T28" s="22">
        <f>IF(AND(L28="",O28=""),"Por enviar",IF(R28="Sí",IF(S28="","Reportar incumplimiento","Incumplimiento reportado"),IF(AND(Q28&lt;&gt;"",TODAY()&gt;Q28),"Plazo vencido – verificar",IF(AND(M28&lt;&gt;"",TODAY()&gt;M28,N28&lt;&gt;"Sí"),"Correo sin respuesta","En plazo"))))</f>
        <v/>
      </c>
      <c r="U28" s="26" t="n"/>
    </row>
    <row r="29" ht="68.65000000000001" customHeight="1" s="17">
      <c r="A29" s="21" t="n">
        <v>28</v>
      </c>
      <c r="B29" s="22" t="inlineStr">
        <is>
          <t>Falabella retail (falabella.com)</t>
        </is>
      </c>
      <c r="C29" s="22" t="inlineStr">
        <is>
          <t>Retail / tarjetas</t>
        </is>
      </c>
      <c r="D29" s="22" t="inlineStr">
        <is>
          <t>Falabella Retail S.A.</t>
        </is>
      </c>
      <c r="E29" s="22" t="inlineStr">
        <is>
          <t>77.261.280-K</t>
        </is>
      </c>
      <c r="F29" s="22" t="inlineStr">
        <is>
          <t>tusdatospersonales@falabella.cl</t>
        </is>
      </c>
      <c r="G29" s="22" t="n"/>
      <c r="H29" s="22" t="inlineStr">
        <is>
          <t>Sec. 13: use the unsubscribe channel included in the communication, or the channels the companies or SERNAC provide. Members of Mi Cuenta / loyalty programs can also revoke consent.</t>
        </is>
      </c>
      <c r="I29" s="22" t="inlineStr">
        <is>
          <t>The forms 'dispuestos en todos los Canales Digitales de la Compañía' (no specific URL given).</t>
        </is>
      </c>
      <c r="J29" s="23" t="inlineStr">
        <is>
          <t>https://www.falabella.com/falabella-cl/page/politica-privacidad-falabella-retail</t>
        </is>
      </c>
      <c r="K29" s="22" t="inlineStr">
        <is>
          <t>Correo</t>
        </is>
      </c>
      <c r="L29" s="24" t="n"/>
      <c r="M29" s="25">
        <f>IF(L29="","",WORKDAY(L29,2,Feriados!$A$2:$A$60))</f>
        <v/>
      </c>
      <c r="N29" s="26" t="n"/>
      <c r="O29" s="24" t="n"/>
      <c r="P29" s="26" t="n"/>
      <c r="Q29" s="25">
        <f>IF(O29="","",WORKDAY(O29,7,Feriados!$A$2:$A$60))</f>
        <v/>
      </c>
      <c r="R29" s="26" t="n"/>
      <c r="S29" s="24" t="n"/>
      <c r="T29" s="22">
        <f>IF(AND(L29="",O29=""),"Por enviar",IF(R29="Sí",IF(S29="","Reportar incumplimiento","Incumplimiento reportado"),IF(AND(Q29&lt;&gt;"",TODAY()&gt;Q29),"Plazo vencido – verificar",IF(AND(M29&lt;&gt;"",TODAY()&gt;M29,N29&lt;&gt;"Sí"),"Correo sin respuesta","En plazo"))))</f>
        <v/>
      </c>
      <c r="U29" s="26" t="n"/>
    </row>
    <row r="30" ht="46.25" customHeight="1" s="17">
      <c r="A30" s="21" t="n">
        <v>29</v>
      </c>
      <c r="B30" s="22" t="inlineStr">
        <is>
          <t>Paris (Cencosud retail)</t>
        </is>
      </c>
      <c r="C30" s="22" t="inlineStr">
        <is>
          <t>Retail / tarjetas</t>
        </is>
      </c>
      <c r="D30" s="22" t="inlineStr">
        <is>
          <t>Cencosud Retail S.A.</t>
        </is>
      </c>
      <c r="E30" s="22" t="n"/>
      <c r="F30" s="22" t="inlineStr">
        <is>
          <t>datospersonales@cencosud.cl</t>
        </is>
      </c>
      <c r="G30" s="22" t="n"/>
      <c r="H30" s="22" t="inlineStr">
        <is>
          <t>Send a written request to datospersonales@cencosud.cl asking to stop receiving advertising communications.</t>
        </is>
      </c>
      <c r="I30" s="22" t="inlineStr">
        <is>
          <t>Postal address in the policy: Av. Kennedy 9001, piso 4, Las Condes.</t>
        </is>
      </c>
      <c r="J30" s="23" t="inlineStr">
        <is>
          <t>https://www.paris.cl/informaciones-legales/politica-privacidad-de-datos/</t>
        </is>
      </c>
      <c r="K30" s="22" t="inlineStr">
        <is>
          <t>Correo</t>
        </is>
      </c>
      <c r="L30" s="24" t="n"/>
      <c r="M30" s="25">
        <f>IF(L30="","",WORKDAY(L30,2,Feriados!$A$2:$A$60))</f>
        <v/>
      </c>
      <c r="N30" s="26" t="n"/>
      <c r="O30" s="24" t="n"/>
      <c r="P30" s="26" t="n"/>
      <c r="Q30" s="25">
        <f>IF(O30="","",WORKDAY(O30,7,Feriados!$A$2:$A$60))</f>
        <v/>
      </c>
      <c r="R30" s="26" t="n"/>
      <c r="S30" s="24" t="n"/>
      <c r="T30" s="22">
        <f>IF(AND(L30="",O30=""),"Por enviar",IF(R30="Sí",IF(S30="","Reportar incumplimiento","Incumplimiento reportado"),IF(AND(Q30&lt;&gt;"",TODAY()&gt;Q30),"Plazo vencido – verificar",IF(AND(M30&lt;&gt;"",TODAY()&gt;M30,N30&lt;&gt;"Sí"),"Correo sin respuesta","En plazo"))))</f>
        <v/>
      </c>
      <c r="U30" s="26" t="n"/>
    </row>
    <row r="31" ht="46.25" customHeight="1" s="17">
      <c r="A31" s="21" t="n">
        <v>30</v>
      </c>
      <c r="B31" s="22" t="inlineStr">
        <is>
          <t>Lider / Walmart Chile</t>
        </is>
      </c>
      <c r="C31" s="22" t="inlineStr">
        <is>
          <t>Retail / tarjetas</t>
        </is>
      </c>
      <c r="D31" s="22" t="n"/>
      <c r="E31" s="22" t="n"/>
      <c r="F31" s="22" t="inlineStr">
        <is>
          <t>servicioalcliente@lider.cl</t>
        </is>
      </c>
      <c r="G31" s="22" t="n"/>
      <c r="H31" s="22" t="inlineStr">
        <is>
          <t>Update communication preferences in your lider.cl account, or by email to servicioalcliente@lider.cl (the privacy policy names this channel).</t>
        </is>
      </c>
      <c r="I31" s="22" t="inlineStr">
        <is>
          <t>Call Center 600 400 9000; WhatsApp +56 9 5721 1492.</t>
        </is>
      </c>
      <c r="J31" s="23" t="inlineStr">
        <is>
          <t>https://www.lider.cl/ayuda/articulo/politicas-de-privacidad/b7331045956d4b5298f1436343afebdd</t>
        </is>
      </c>
      <c r="K31" s="22" t="inlineStr">
        <is>
          <t>Correo</t>
        </is>
      </c>
      <c r="L31" s="24" t="n"/>
      <c r="M31" s="25">
        <f>IF(L31="","",WORKDAY(L31,2,Feriados!$A$2:$A$60))</f>
        <v/>
      </c>
      <c r="N31" s="26" t="n"/>
      <c r="O31" s="24" t="n"/>
      <c r="P31" s="26" t="n"/>
      <c r="Q31" s="25">
        <f>IF(O31="","",WORKDAY(O31,7,Feriados!$A$2:$A$60))</f>
        <v/>
      </c>
      <c r="R31" s="26" t="n"/>
      <c r="S31" s="24" t="n"/>
      <c r="T31" s="22">
        <f>IF(AND(L31="",O31=""),"Por enviar",IF(R31="Sí",IF(S31="","Reportar incumplimiento","Incumplimiento reportado"),IF(AND(Q31&lt;&gt;"",TODAY()&gt;Q31),"Plazo vencido – verificar",IF(AND(M31&lt;&gt;"",TODAY()&gt;M31,N31&lt;&gt;"Sí"),"Correo sin respuesta","En plazo"))))</f>
        <v/>
      </c>
      <c r="U31" s="26" t="n"/>
    </row>
    <row r="32" ht="113.4" customHeight="1" s="17">
      <c r="A32" s="21" t="n">
        <v>31</v>
      </c>
      <c r="B32" s="22" t="inlineStr">
        <is>
          <t>BNP Paribas Cardif Chile</t>
        </is>
      </c>
      <c r="C32" s="22" t="inlineStr">
        <is>
          <t>Seguros</t>
        </is>
      </c>
      <c r="D32" s="22" t="inlineStr">
        <is>
          <t>BNP Paribas Cardif Seguros de Vida S.A. (Chile) y BNP Paribas Cardif Seguros Generales S.A.</t>
        </is>
      </c>
      <c r="E32" s="22" t="n"/>
      <c r="F32" s="22" t="n"/>
      <c r="G32" s="22" t="n"/>
      <c r="H32" s="22" t="inlineStr">
        <is>
          <t>El Aviso de Privacidad reconoce el derecho a oponerse al tratamiento con fines de prospección comercial (ofertas por teléfono y correo 'salvo que se oponga'); solicitudes de derechos por escrito a Avenida Vitacura N° 2670, piso 9, Las Condes, Región Metropolitana, o 'en nuestra página web cuando proceda'.</t>
        </is>
      </c>
      <c r="I32" s="22" t="inlineStr">
        <is>
          <t>servicio.cliente@cardif.cl (vida, hogar, desempleo u otros) / soluciones@cardif.cl (automotriz); tel. 800 362 100; contacto: https://bnpparibascardif.cl/contacto/</t>
        </is>
      </c>
      <c r="J32" s="23" t="inlineStr">
        <is>
          <t>https://bnpparibascardif.cl/wp-content/uploads/sites/15/2024/12/Aviso-de-privacidad.pdf</t>
        </is>
      </c>
      <c r="K32" s="22" t="inlineStr">
        <is>
          <t>Canal alternativo</t>
        </is>
      </c>
      <c r="L32" s="24" t="n"/>
      <c r="M32" s="25">
        <f>IF(L32="","",WORKDAY(L32,2,Feriados!$A$2:$A$60))</f>
        <v/>
      </c>
      <c r="N32" s="26" t="n"/>
      <c r="O32" s="24" t="n"/>
      <c r="P32" s="26" t="n"/>
      <c r="Q32" s="25">
        <f>IF(O32="","",WORKDAY(O32,7,Feriados!$A$2:$A$60))</f>
        <v/>
      </c>
      <c r="R32" s="26" t="n"/>
      <c r="S32" s="24" t="n"/>
      <c r="T32" s="22">
        <f>IF(AND(L32="",O32=""),"Por enviar",IF(R32="Sí",IF(S32="","Reportar incumplimiento","Incumplimiento reportado"),IF(AND(Q32&lt;&gt;"",TODAY()&gt;Q32),"Plazo vencido – verificar",IF(AND(M32&lt;&gt;"",TODAY()&gt;M32,N32&lt;&gt;"Sí"),"Correo sin respuesta","En plazo"))))</f>
        <v/>
      </c>
      <c r="U32" s="26" t="n"/>
    </row>
    <row r="33" ht="68.65000000000001" customHeight="1" s="17">
      <c r="A33" s="21" t="n">
        <v>32</v>
      </c>
      <c r="B33" s="22" t="inlineStr">
        <is>
          <t>MetLife Chile</t>
        </is>
      </c>
      <c r="C33" s="22" t="inlineStr">
        <is>
          <t>Seguros</t>
        </is>
      </c>
      <c r="D33" s="22" t="inlineStr">
        <is>
          <t>MetLife Chile Seguros de Vida S.A.</t>
        </is>
      </c>
      <c r="E33" s="22" t="n"/>
      <c r="F33" s="22" t="inlineStr">
        <is>
          <t>derechosarcc@metlife.cl</t>
        </is>
      </c>
      <c r="G33" s="23" t="inlineStr">
        <is>
          <t>https://w3.metlife.cl/content/dam/metlifecom/cl/pdfs/derechos-arcc/FORMULARIO-DE-SOLICITUD-ARCC-WEB.pdf</t>
        </is>
      </c>
      <c r="H33" s="22" t="inlineStr">
        <is>
          <t>Revocar o modificar consentimiento de uso de datos escribiendo a dpo@metlife.cl (página Ley de Protección de Datos: https://w3.metlife.cl/ley-de-proteccion-de-datos/).</t>
        </is>
      </c>
      <c r="I33" s="22" t="inlineStr">
        <is>
          <t>Call center 600 390 3000; WhatsApp +56 9 9808 1155; Av. Apoquindo 2730, Piso 18, Las Condes</t>
        </is>
      </c>
      <c r="J33" s="23" t="inlineStr">
        <is>
          <t>https://w3.metlife.cl/derechos-arcc</t>
        </is>
      </c>
      <c r="K33" s="22" t="inlineStr">
        <is>
          <t>Correo</t>
        </is>
      </c>
      <c r="L33" s="24" t="n"/>
      <c r="M33" s="25">
        <f>IF(L33="","",WORKDAY(L33,2,Feriados!$A$2:$A$60))</f>
        <v/>
      </c>
      <c r="N33" s="26" t="n"/>
      <c r="O33" s="24" t="n"/>
      <c r="P33" s="26" t="n"/>
      <c r="Q33" s="25">
        <f>IF(O33="","",WORKDAY(O33,7,Feriados!$A$2:$A$60))</f>
        <v/>
      </c>
      <c r="R33" s="26" t="n"/>
      <c r="S33" s="24" t="n"/>
      <c r="T33" s="22">
        <f>IF(AND(L33="",O33=""),"Por enviar",IF(R33="Sí",IF(S33="","Reportar incumplimiento","Incumplimiento reportado"),IF(AND(Q33&lt;&gt;"",TODAY()&gt;Q33),"Plazo vencido – verificar",IF(AND(M33&lt;&gt;"",TODAY()&gt;M33,N33&lt;&gt;"Sí"),"Correo sin respuesta","En plazo"))))</f>
        <v/>
      </c>
      <c r="U33" s="26" t="n"/>
    </row>
    <row r="34" ht="68.65000000000001" customHeight="1" s="17">
      <c r="A34" s="21" t="n">
        <v>33</v>
      </c>
      <c r="B34" s="22" t="inlineStr">
        <is>
          <t>BCI Seguros</t>
        </is>
      </c>
      <c r="C34" s="22" t="inlineStr">
        <is>
          <t>Seguros</t>
        </is>
      </c>
      <c r="D34" s="22" t="n"/>
      <c r="E34" s="22" t="n"/>
      <c r="F34" s="22" t="n"/>
      <c r="G34" s="23" t="inlineStr">
        <is>
          <t>https://privacyportal-br.onetrust.com/webform/34d4a9e1-b824-41bf-b78b-1bd88cabf2d6/bd522870-69b6-4460-8121-e766f09d00d4</t>
        </is>
      </c>
      <c r="H34" s="22" t="inlineStr">
        <is>
          <t>Los e-mails de promoción de ofertas y encuestas siempre incluyen un link para solicitar no recibir más ese tipo de e-mail. Modificación de datos llamando al 600 6000 292.</t>
        </is>
      </c>
      <c r="I34" s="22" t="inlineStr">
        <is>
          <t>Tel. 600 6000 292; Consultas y reclamos: https://www.bciseguros.cl/especiales/informacion-sobre-atencion-de-clientes-y-presentacion-de-consultas-y-reclamos/</t>
        </is>
      </c>
      <c r="J34" s="23" t="inlineStr">
        <is>
          <t>https://www.bciseguros.cl/especiales/politicas-privacidad-uso-de-los-datos/</t>
        </is>
      </c>
      <c r="K34" s="22" t="inlineStr">
        <is>
          <t>Formulario web</t>
        </is>
      </c>
      <c r="L34" s="24" t="n"/>
      <c r="M34" s="25">
        <f>IF(L34="","",WORKDAY(L34,2,Feriados!$A$2:$A$60))</f>
        <v/>
      </c>
      <c r="N34" s="26" t="n"/>
      <c r="O34" s="24" t="n"/>
      <c r="P34" s="26" t="n"/>
      <c r="Q34" s="25">
        <f>IF(O34="","",WORKDAY(O34,7,Feriados!$A$2:$A$60))</f>
        <v/>
      </c>
      <c r="R34" s="26" t="n"/>
      <c r="S34" s="24" t="n"/>
      <c r="T34" s="22">
        <f>IF(AND(L34="",O34=""),"Por enviar",IF(R34="Sí",IF(S34="","Reportar incumplimiento","Incumplimiento reportado"),IF(AND(Q34&lt;&gt;"",TODAY()&gt;Q34),"Plazo vencido – verificar",IF(AND(M34&lt;&gt;"",TODAY()&gt;M34,N34&lt;&gt;"Sí"),"Correo sin respuesta","En plazo"))))</f>
        <v/>
      </c>
      <c r="U34" s="26" t="n"/>
    </row>
    <row r="35" ht="35.05" customHeight="1" s="17">
      <c r="A35" s="21" t="n">
        <v>34</v>
      </c>
      <c r="B35" s="22" t="inlineStr">
        <is>
          <t>Consorcio (Seguros)</t>
        </is>
      </c>
      <c r="C35" s="22" t="inlineStr">
        <is>
          <t>Seguros</t>
        </is>
      </c>
      <c r="D35" s="22" t="inlineStr">
        <is>
          <t>Grupo Consorcio Financiero S.A.</t>
        </is>
      </c>
      <c r="E35" s="22" t="inlineStr">
        <is>
          <t>79619200 - 3</t>
        </is>
      </c>
      <c r="F35" s="22" t="inlineStr">
        <is>
          <t>privacidad@consorcio.cl</t>
        </is>
      </c>
      <c r="G35" s="22" t="n"/>
      <c r="H35" s="22" t="n"/>
      <c r="I35" s="22" t="inlineStr">
        <is>
          <t>Avenida El Bosque Sur 180 piso 3, Las Condes, Santiago (domicilio del responsable)</t>
        </is>
      </c>
      <c r="J35" s="23" t="inlineStr">
        <is>
          <t>https://sitio.consorcio.cl/comunicados/politica-de-privacidad</t>
        </is>
      </c>
      <c r="K35" s="22" t="inlineStr">
        <is>
          <t>Correo</t>
        </is>
      </c>
      <c r="L35" s="24" t="n"/>
      <c r="M35" s="25">
        <f>IF(L35="","",WORKDAY(L35,2,Feriados!$A$2:$A$60))</f>
        <v/>
      </c>
      <c r="N35" s="26" t="n"/>
      <c r="O35" s="24" t="n"/>
      <c r="P35" s="26" t="n"/>
      <c r="Q35" s="25">
        <f>IF(O35="","",WORKDAY(O35,7,Feriados!$A$2:$A$60))</f>
        <v/>
      </c>
      <c r="R35" s="26" t="n"/>
      <c r="S35" s="24" t="n"/>
      <c r="T35" s="22">
        <f>IF(AND(L35="",O35=""),"Por enviar",IF(R35="Sí",IF(S35="","Reportar incumplimiento","Incumplimiento reportado"),IF(AND(Q35&lt;&gt;"",TODAY()&gt;Q35),"Plazo vencido – verificar",IF(AND(M35&lt;&gt;"",TODAY()&gt;M35,N35&lt;&gt;"Sí"),"Correo sin respuesta","En plazo"))))</f>
        <v/>
      </c>
      <c r="U35" s="26" t="n"/>
    </row>
    <row r="36" ht="57.45" customHeight="1" s="17">
      <c r="A36" s="21" t="n">
        <v>35</v>
      </c>
      <c r="B36" s="22" t="inlineStr">
        <is>
          <t>Zurich Chile</t>
        </is>
      </c>
      <c r="C36" s="22" t="inlineStr">
        <is>
          <t>Seguros</t>
        </is>
      </c>
      <c r="D36" s="22" t="inlineStr">
        <is>
          <t>Zurich Chile Seguros de Vida S.A.; Zurich Chile Seguros Generales S.A.; Zurich Chile Asset Management Administradora General de Fondos S.A.</t>
        </is>
      </c>
      <c r="E36" s="22" t="n"/>
      <c r="F36" s="22" t="inlineStr">
        <is>
          <t>clz.oficinadeprivacidadchile@zurich.com</t>
        </is>
      </c>
      <c r="G36" s="22" t="n"/>
      <c r="H36" s="22" t="inlineStr">
        <is>
          <t>Derecho de oposición al tratamiento por interés legítimo (contacto) y revocación del consentimiento por solicitud escrita al mismo correo de la Oficina de Privacidad.</t>
        </is>
      </c>
      <c r="I36" s="22" t="inlineStr">
        <is>
          <t>Tel. 600 600 9090; WhatsApp +56 9 8790 2551; formulario https://www.zurich.cl/conocenos/contacto</t>
        </is>
      </c>
      <c r="J36" s="23" t="inlineStr">
        <is>
          <t>https://www.zurich.cl/conocenos/politicas-de-privacidad</t>
        </is>
      </c>
      <c r="K36" s="22" t="inlineStr">
        <is>
          <t>Correo</t>
        </is>
      </c>
      <c r="L36" s="24" t="n"/>
      <c r="M36" s="25">
        <f>IF(L36="","",WORKDAY(L36,2,Feriados!$A$2:$A$60))</f>
        <v/>
      </c>
      <c r="N36" s="26" t="n"/>
      <c r="O36" s="24" t="n"/>
      <c r="P36" s="26" t="n"/>
      <c r="Q36" s="25">
        <f>IF(O36="","",WORKDAY(O36,7,Feriados!$A$2:$A$60))</f>
        <v/>
      </c>
      <c r="R36" s="26" t="n"/>
      <c r="S36" s="24" t="n"/>
      <c r="T36" s="22">
        <f>IF(AND(L36="",O36=""),"Por enviar",IF(R36="Sí",IF(S36="","Reportar incumplimiento","Incumplimiento reportado"),IF(AND(Q36&lt;&gt;"",TODAY()&gt;Q36),"Plazo vencido – verificar",IF(AND(M36&lt;&gt;"",TODAY()&gt;M36,N36&lt;&gt;"Sí"),"Correo sin respuesta","En plazo"))))</f>
        <v/>
      </c>
      <c r="U36" s="26" t="n"/>
    </row>
    <row r="37" ht="79.84999999999999" customHeight="1" s="17">
      <c r="A37" s="21" t="n">
        <v>36</v>
      </c>
      <c r="B37" s="22" t="inlineStr">
        <is>
          <t>Chubb Chile</t>
        </is>
      </c>
      <c r="C37" s="22" t="inlineStr">
        <is>
          <t>Seguros</t>
        </is>
      </c>
      <c r="D37" s="22" t="n"/>
      <c r="E37" s="22" t="n"/>
      <c r="F37" s="22" t="inlineStr">
        <is>
          <t>protecciondedatoschile@chubb.com</t>
        </is>
      </c>
      <c r="G37" s="22" t="n"/>
      <c r="H37" s="22" t="n"/>
      <c r="I37" s="22" t="inlineStr">
        <is>
          <t>Clientes.Chile@Chubb.com (indicado en la Política de Privacidad para acceso/corrección); Presidente Riesco 5435, piso 7, Las Condes; formulario https://www.chubb.com/cl-es/contactanos/contactanos.html</t>
        </is>
      </c>
      <c r="J37" s="23" t="inlineStr">
        <is>
          <t>https://www.chubb.com/cl-es/bases-legales/aviso-de-proteccion-de-datos.html</t>
        </is>
      </c>
      <c r="K37" s="22" t="inlineStr">
        <is>
          <t>Correo</t>
        </is>
      </c>
      <c r="L37" s="24" t="n"/>
      <c r="M37" s="25">
        <f>IF(L37="","",WORKDAY(L37,2,Feriados!$A$2:$A$60))</f>
        <v/>
      </c>
      <c r="N37" s="26" t="n"/>
      <c r="O37" s="24" t="n"/>
      <c r="P37" s="26" t="n"/>
      <c r="Q37" s="25">
        <f>IF(O37="","",WORKDAY(O37,7,Feriados!$A$2:$A$60))</f>
        <v/>
      </c>
      <c r="R37" s="26" t="n"/>
      <c r="S37" s="24" t="n"/>
      <c r="T37" s="22">
        <f>IF(AND(L37="",O37=""),"Por enviar",IF(R37="Sí",IF(S37="","Reportar incumplimiento","Incumplimiento reportado"),IF(AND(Q37&lt;&gt;"",TODAY()&gt;Q37),"Plazo vencido – verificar",IF(AND(M37&lt;&gt;"",TODAY()&gt;M37,N37&lt;&gt;"Sí"),"Correo sin respuesta","En plazo"))))</f>
        <v/>
      </c>
      <c r="U37" s="26" t="n"/>
    </row>
    <row r="38" ht="68.65000000000001" customHeight="1" s="17">
      <c r="A38" s="21" t="n">
        <v>37</v>
      </c>
      <c r="B38" s="22" t="inlineStr">
        <is>
          <t>HDI Seguros Chile</t>
        </is>
      </c>
      <c r="C38" s="22" t="inlineStr">
        <is>
          <t>Seguros</t>
        </is>
      </c>
      <c r="D38" s="22" t="n"/>
      <c r="E38" s="22" t="n"/>
      <c r="F38" s="22" t="n"/>
      <c r="G38" s="22" t="n"/>
      <c r="H38" s="22" t="n"/>
      <c r="I38" s="22" t="inlineStr">
        <is>
          <t>Tel. 600 600 60 10; WhatsApp +56 9 7753 0532; Mi HDI Virtual (https://ww2.hdi.cl/ingresar) opción 'Ingreso de reclamos'; Av. Manquehue Norte 160, piso 19, Las Condes</t>
        </is>
      </c>
      <c r="J38" s="23" t="inlineStr">
        <is>
          <t>https://www.hdi.cl/informacion-util</t>
        </is>
      </c>
      <c r="K38" s="22" t="inlineStr">
        <is>
          <t>Canal alternativo</t>
        </is>
      </c>
      <c r="L38" s="24" t="n"/>
      <c r="M38" s="25">
        <f>IF(L38="","",WORKDAY(L38,2,Feriados!$A$2:$A$60))</f>
        <v/>
      </c>
      <c r="N38" s="26" t="n"/>
      <c r="O38" s="24" t="n"/>
      <c r="P38" s="26" t="n"/>
      <c r="Q38" s="25">
        <f>IF(O38="","",WORKDAY(O38,7,Feriados!$A$2:$A$60))</f>
        <v/>
      </c>
      <c r="R38" s="26" t="n"/>
      <c r="S38" s="24" t="n"/>
      <c r="T38" s="22">
        <f>IF(AND(L38="",O38=""),"Por enviar",IF(R38="Sí",IF(S38="","Reportar incumplimiento","Incumplimiento reportado"),IF(AND(Q38&lt;&gt;"",TODAY()&gt;Q38),"Plazo vencido – verificar",IF(AND(M38&lt;&gt;"",TODAY()&gt;M38,N38&lt;&gt;"Sí"),"Correo sin respuesta","En plazo"))))</f>
        <v/>
      </c>
      <c r="U38" s="26" t="n"/>
    </row>
    <row r="39" ht="68.65000000000001" customHeight="1" s="17">
      <c r="A39" s="21" t="n">
        <v>38</v>
      </c>
      <c r="B39" s="22" t="inlineStr">
        <is>
          <t>Mapfre Chile</t>
        </is>
      </c>
      <c r="C39" s="22" t="inlineStr">
        <is>
          <t>Seguros</t>
        </is>
      </c>
      <c r="D39" s="22" t="inlineStr">
        <is>
          <t>Mapfre Compañía de Seguros Generales de Chile S.A. y Mapfre Compañía de Seguros de Vida de Chile S.A.</t>
        </is>
      </c>
      <c r="E39" s="22" t="n"/>
      <c r="F39" s="22" t="inlineStr">
        <is>
          <t>dpo@mapfre.cl</t>
        </is>
      </c>
      <c r="G39" s="22" t="n"/>
      <c r="H39" s="22" t="inlineStr">
        <is>
          <t>Comunicaciones comerciales basadas en consentimiento; se puede revocar el consentimiento en cualquier momento mediante comunicación escrita dirigida a Mapfre Chile.</t>
        </is>
      </c>
      <c r="I39" s="22" t="inlineStr">
        <is>
          <t>Contact Center 600 700 4000; Isidora Goyenechea 3520, Las Condes; formulario https://mel.mapfre.cl/cl/portal/servicios/contactenos/</t>
        </is>
      </c>
      <c r="J39" s="23" t="inlineStr">
        <is>
          <t>https://www.mapfre.cl/privacidad/</t>
        </is>
      </c>
      <c r="K39" s="22" t="inlineStr">
        <is>
          <t>Correo</t>
        </is>
      </c>
      <c r="L39" s="24" t="n"/>
      <c r="M39" s="25">
        <f>IF(L39="","",WORKDAY(L39,2,Feriados!$A$2:$A$60))</f>
        <v/>
      </c>
      <c r="N39" s="26" t="n"/>
      <c r="O39" s="24" t="n"/>
      <c r="P39" s="26" t="n"/>
      <c r="Q39" s="25">
        <f>IF(O39="","",WORKDAY(O39,7,Feriados!$A$2:$A$60))</f>
        <v/>
      </c>
      <c r="R39" s="26" t="n"/>
      <c r="S39" s="24" t="n"/>
      <c r="T39" s="22">
        <f>IF(AND(L39="",O39=""),"Por enviar",IF(R39="Sí",IF(S39="","Reportar incumplimiento","Incumplimiento reportado"),IF(AND(Q39&lt;&gt;"",TODAY()&gt;Q39),"Plazo vencido – verificar",IF(AND(M39&lt;&gt;"",TODAY()&gt;M39,N39&lt;&gt;"Sí"),"Correo sin respuesta","En plazo"))))</f>
        <v/>
      </c>
      <c r="U39" s="26" t="n"/>
    </row>
    <row r="40" ht="46.25" customHeight="1" s="17">
      <c r="A40" s="21" t="n">
        <v>39</v>
      </c>
      <c r="B40" s="22" t="inlineStr">
        <is>
          <t>AFP Modelo</t>
        </is>
      </c>
      <c r="C40" s="22" t="inlineStr">
        <is>
          <t>AFP</t>
        </is>
      </c>
      <c r="D40" s="22" t="inlineStr">
        <is>
          <t>AFP Modelo S.A.</t>
        </is>
      </c>
      <c r="E40" s="22" t="n"/>
      <c r="F40" s="22" t="n"/>
      <c r="G40" s="22" t="n"/>
      <c r="H40" s="22" t="n"/>
      <c r="I40" s="22" t="inlineStr">
        <is>
          <t>Centro de Contacto / sucursales: https://nueva.afpmodelo.cl/centro-contacto (número no legible en la captura del sitio)</t>
        </is>
      </c>
      <c r="J40" s="23" t="inlineStr">
        <is>
          <t>https://nueva.afpmodelo.cl/Politicas/</t>
        </is>
      </c>
      <c r="K40" s="22" t="inlineStr">
        <is>
          <t>Canal alternativo</t>
        </is>
      </c>
      <c r="L40" s="24" t="n"/>
      <c r="M40" s="25">
        <f>IF(L40="","",WORKDAY(L40,2,Feriados!$A$2:$A$60))</f>
        <v/>
      </c>
      <c r="N40" s="26" t="n"/>
      <c r="O40" s="24" t="n"/>
      <c r="P40" s="26" t="n"/>
      <c r="Q40" s="25">
        <f>IF(O40="","",WORKDAY(O40,7,Feriados!$A$2:$A$60))</f>
        <v/>
      </c>
      <c r="R40" s="26" t="n"/>
      <c r="S40" s="24" t="n"/>
      <c r="T40" s="22">
        <f>IF(AND(L40="",O40=""),"Por enviar",IF(R40="Sí",IF(S40="","Reportar incumplimiento","Incumplimiento reportado"),IF(AND(Q40&lt;&gt;"",TODAY()&gt;Q40),"Plazo vencido – verificar",IF(AND(M40&lt;&gt;"",TODAY()&gt;M40,N40&lt;&gt;"Sí"),"Correo sin respuesta","En plazo"))))</f>
        <v/>
      </c>
      <c r="U40" s="26" t="n"/>
    </row>
    <row r="41" ht="68.65000000000001" customHeight="1" s="17">
      <c r="A41" s="21" t="n">
        <v>40</v>
      </c>
      <c r="B41" s="22" t="inlineStr">
        <is>
          <t>AFP Uno</t>
        </is>
      </c>
      <c r="C41" s="22" t="inlineStr">
        <is>
          <t>AFP</t>
        </is>
      </c>
      <c r="D41" s="22" t="inlineStr">
        <is>
          <t>UNO afp S.A.</t>
        </is>
      </c>
      <c r="E41" s="22" t="n"/>
      <c r="F41" s="22" t="n"/>
      <c r="G41" s="22" t="n"/>
      <c r="H41" s="22" t="n"/>
      <c r="I41" s="22" t="inlineStr">
        <is>
          <t>Tel. 600 600 1101 / (562) 2 720 5500; reclamos o consultas: https://www.uno.cl/tramite-online/requerimientos; unoapp@uno.cl (contacto de la app, no específico de privacidad)</t>
        </is>
      </c>
      <c r="J41" s="23" t="inlineStr">
        <is>
          <t>https://www.uno.cl/ayuda/terminosdeusoapp</t>
        </is>
      </c>
      <c r="K41" s="22" t="inlineStr">
        <is>
          <t>Canal alternativo</t>
        </is>
      </c>
      <c r="L41" s="24" t="n"/>
      <c r="M41" s="25">
        <f>IF(L41="","",WORKDAY(L41,2,Feriados!$A$2:$A$60))</f>
        <v/>
      </c>
      <c r="N41" s="26" t="n"/>
      <c r="O41" s="24" t="n"/>
      <c r="P41" s="26" t="n"/>
      <c r="Q41" s="25">
        <f>IF(O41="","",WORKDAY(O41,7,Feriados!$A$2:$A$60))</f>
        <v/>
      </c>
      <c r="R41" s="26" t="n"/>
      <c r="S41" s="24" t="n"/>
      <c r="T41" s="22">
        <f>IF(AND(L41="",O41=""),"Por enviar",IF(R41="Sí",IF(S41="","Reportar incumplimiento","Incumplimiento reportado"),IF(AND(Q41&lt;&gt;"",TODAY()&gt;Q41),"Plazo vencido – verificar",IF(AND(M41&lt;&gt;"",TODAY()&gt;M41,N41&lt;&gt;"Sí"),"Correo sin respuesta","En plazo"))))</f>
        <v/>
      </c>
      <c r="U41" s="26" t="n"/>
    </row>
    <row r="42" ht="91" customHeight="1" s="17">
      <c r="A42" s="21" t="n">
        <v>41</v>
      </c>
      <c r="B42" s="22" t="inlineStr">
        <is>
          <t>Caja Los Andes</t>
        </is>
      </c>
      <c r="C42" s="22" t="inlineStr">
        <is>
          <t>Cajas / crédito</t>
        </is>
      </c>
      <c r="D42" s="22" t="inlineStr">
        <is>
          <t>Caja de Compensación de Asignación Familiar de Los Andes</t>
        </is>
      </c>
      <c r="E42" s="22" t="inlineStr">
        <is>
          <t>81.826.800-9</t>
        </is>
      </c>
      <c r="F42" s="22" t="inlineStr">
        <is>
          <t>datospersonales@cajalosandes.cl</t>
        </is>
      </c>
      <c r="G42" s="23" t="inlineStr">
        <is>
          <t>https://miportal.cajalosandes.cl/redireccion-buzon-login-contexto-aviso-privacidad</t>
        </is>
      </c>
      <c r="H42" s="22" t="inlineStr">
        <is>
          <t>The Aviso de Privacidad says affiliates can always opt out of marketing through the unsubscribe means the Caja provides. ARCO rights can also be exercised in person at branches. Affiliates use the online form; non-affiliates use the email address.</t>
        </is>
      </c>
      <c r="I42" s="22" t="inlineStr">
        <is>
          <t>Centro de ayuda https://www.cajalosandes.cl/centro-de-ayuda and branches. The privacy mailbox is for data matters only, not complaints.</t>
        </is>
      </c>
      <c r="J42" s="23" t="inlineStr">
        <is>
          <t>https://somosandes.cajalosandes.cl/somos/transparencia</t>
        </is>
      </c>
      <c r="K42" s="22" t="inlineStr">
        <is>
          <t>Correo</t>
        </is>
      </c>
      <c r="L42" s="24" t="n"/>
      <c r="M42" s="25">
        <f>IF(L42="","",WORKDAY(L42,2,Feriados!$A$2:$A$60))</f>
        <v/>
      </c>
      <c r="N42" s="26" t="n"/>
      <c r="O42" s="24" t="n"/>
      <c r="P42" s="26" t="n"/>
      <c r="Q42" s="25">
        <f>IF(O42="","",WORKDAY(O42,7,Feriados!$A$2:$A$60))</f>
        <v/>
      </c>
      <c r="R42" s="26" t="n"/>
      <c r="S42" s="24" t="n"/>
      <c r="T42" s="22">
        <f>IF(AND(L42="",O42=""),"Por enviar",IF(R42="Sí",IF(S42="","Reportar incumplimiento","Incumplimiento reportado"),IF(AND(Q42&lt;&gt;"",TODAY()&gt;Q42),"Plazo vencido – verificar",IF(AND(M42&lt;&gt;"",TODAY()&gt;M42,N42&lt;&gt;"Sí"),"Correo sin respuesta","En plazo"))))</f>
        <v/>
      </c>
      <c r="U42" s="26" t="n"/>
    </row>
    <row r="43" ht="23.85" customHeight="1" s="17">
      <c r="A43" s="21" t="n">
        <v>42</v>
      </c>
      <c r="B43" s="22" t="inlineStr">
        <is>
          <t>Caja La Araucana</t>
        </is>
      </c>
      <c r="C43" s="22" t="inlineStr">
        <is>
          <t>Cajas / crédito</t>
        </is>
      </c>
      <c r="D43" s="22" t="inlineStr">
        <is>
          <t>Caja de Compensación de Asignación Familiar La Araucana</t>
        </is>
      </c>
      <c r="E43" s="22" t="n"/>
      <c r="F43" s="22" t="inlineStr">
        <is>
          <t>protecciondedatos@laaraucana.cl</t>
        </is>
      </c>
      <c r="G43" s="22" t="n"/>
      <c r="H43" s="22" t="n"/>
      <c r="I43" s="22" t="inlineStr">
        <is>
          <t>Formulario de contacto https://formcontacto.laaraucana.cl/</t>
        </is>
      </c>
      <c r="J43" s="23" t="inlineStr">
        <is>
          <t>https://formcontacto.laaraucana.cl/</t>
        </is>
      </c>
      <c r="K43" s="22" t="inlineStr">
        <is>
          <t>Correo</t>
        </is>
      </c>
      <c r="L43" s="24" t="n"/>
      <c r="M43" s="25">
        <f>IF(L43="","",WORKDAY(L43,2,Feriados!$A$2:$A$60))</f>
        <v/>
      </c>
      <c r="N43" s="26" t="n"/>
      <c r="O43" s="24" t="n"/>
      <c r="P43" s="26" t="n"/>
      <c r="Q43" s="25">
        <f>IF(O43="","",WORKDAY(O43,7,Feriados!$A$2:$A$60))</f>
        <v/>
      </c>
      <c r="R43" s="26" t="n"/>
      <c r="S43" s="24" t="n"/>
      <c r="T43" s="22">
        <f>IF(AND(L43="",O43=""),"Por enviar",IF(R43="Sí",IF(S43="","Reportar incumplimiento","Incumplimiento reportado"),IF(AND(Q43&lt;&gt;"",TODAY()&gt;Q43),"Plazo vencido – verificar",IF(AND(M43&lt;&gt;"",TODAY()&gt;M43,N43&lt;&gt;"Sí"),"Correo sin respuesta","En plazo"))))</f>
        <v/>
      </c>
      <c r="U43" s="26" t="n"/>
    </row>
    <row r="44" ht="35.05" customHeight="1" s="17">
      <c r="A44" s="21" t="n">
        <v>43</v>
      </c>
      <c r="B44" s="22" t="inlineStr">
        <is>
          <t>Caja 18</t>
        </is>
      </c>
      <c r="C44" s="22" t="inlineStr">
        <is>
          <t>Cajas / crédito</t>
        </is>
      </c>
      <c r="D44" s="22" t="inlineStr">
        <is>
          <t>Caja de Compensación de Asignación Familiar 18 de Septiembre</t>
        </is>
      </c>
      <c r="E44" s="22" t="n"/>
      <c r="F44" s="22" t="inlineStr">
        <is>
          <t>sac@caja18.cl</t>
        </is>
      </c>
      <c r="G44" s="22" t="n"/>
      <c r="H44" s="22" t="n"/>
      <c r="I44" s="22" t="inlineStr">
        <is>
          <t>Call Center 600 718 18 18; written request to Nataniel Cox Nº125, Santiago</t>
        </is>
      </c>
      <c r="J44" s="23" t="inlineStr">
        <is>
          <t>https://www.caja18.cl/politica-de-privacidad/</t>
        </is>
      </c>
      <c r="K44" s="22" t="inlineStr">
        <is>
          <t>Correo</t>
        </is>
      </c>
      <c r="L44" s="24" t="n"/>
      <c r="M44" s="25">
        <f>IF(L44="","",WORKDAY(L44,2,Feriados!$A$2:$A$60))</f>
        <v/>
      </c>
      <c r="N44" s="26" t="n"/>
      <c r="O44" s="24" t="n"/>
      <c r="P44" s="26" t="n"/>
      <c r="Q44" s="25">
        <f>IF(O44="","",WORKDAY(O44,7,Feriados!$A$2:$A$60))</f>
        <v/>
      </c>
      <c r="R44" s="26" t="n"/>
      <c r="S44" s="24" t="n"/>
      <c r="T44" s="22">
        <f>IF(AND(L44="",O44=""),"Por enviar",IF(R44="Sí",IF(S44="","Reportar incumplimiento","Incumplimiento reportado"),IF(AND(Q44&lt;&gt;"",TODAY()&gt;Q44),"Plazo vencido – verificar",IF(AND(M44&lt;&gt;"",TODAY()&gt;M44,N44&lt;&gt;"Sí"),"Correo sin respuesta","En plazo"))))</f>
        <v/>
      </c>
      <c r="U44" s="26" t="n"/>
    </row>
    <row r="45" ht="79.84999999999999" customHeight="1" s="17">
      <c r="A45" s="21" t="n">
        <v>44</v>
      </c>
      <c r="B45" s="22" t="inlineStr">
        <is>
          <t>Caja Los Héroes</t>
        </is>
      </c>
      <c r="C45" s="22" t="inlineStr">
        <is>
          <t>Cajas / crédito</t>
        </is>
      </c>
      <c r="D45" s="22" t="inlineStr">
        <is>
          <t>Caja de Compensación de Asignación Familiar Los Héroes</t>
        </is>
      </c>
      <c r="E45" s="22" t="n"/>
      <c r="F45" s="22" t="n"/>
      <c r="G45" s="22" t="n"/>
      <c r="H45" s="22" t="n"/>
      <c r="I45" s="22" t="inlineStr">
        <is>
          <t>The privacy policy says to use the contact form on www.losheroes.cl (Centro de Ayuda https://www.losheroes.cl/centro-ayuda). Phone: 600 222 7777 for workers and companies, 600 222 9999 for pensioners.</t>
        </is>
      </c>
      <c r="J45" s="23" t="inlineStr">
        <is>
          <t>https://www.losheroes.cl/trabajadores/nuestra-empresa/politicas-de-privacidad/</t>
        </is>
      </c>
      <c r="K45" s="22" t="inlineStr">
        <is>
          <t>Canal alternativo</t>
        </is>
      </c>
      <c r="L45" s="24" t="n"/>
      <c r="M45" s="25">
        <f>IF(L45="","",WORKDAY(L45,2,Feriados!$A$2:$A$60))</f>
        <v/>
      </c>
      <c r="N45" s="26" t="n"/>
      <c r="O45" s="24" t="n"/>
      <c r="P45" s="26" t="n"/>
      <c r="Q45" s="25">
        <f>IF(O45="","",WORKDAY(O45,7,Feriados!$A$2:$A$60))</f>
        <v/>
      </c>
      <c r="R45" s="26" t="n"/>
      <c r="S45" s="24" t="n"/>
      <c r="T45" s="22">
        <f>IF(AND(L45="",O45=""),"Por enviar",IF(R45="Sí",IF(S45="","Reportar incumplimiento","Incumplimiento reportado"),IF(AND(Q45&lt;&gt;"",TODAY()&gt;Q45),"Plazo vencido – verificar",IF(AND(M45&lt;&gt;"",TODAY()&gt;M45,N45&lt;&gt;"Sí"),"Correo sin respuesta","En plazo"))))</f>
        <v/>
      </c>
      <c r="U45" s="26" t="n"/>
    </row>
    <row r="46" ht="79.84999999999999" customHeight="1" s="17">
      <c r="A46" s="21" t="n">
        <v>45</v>
      </c>
      <c r="B46" s="22" t="inlineStr">
        <is>
          <t>Coopeuch</t>
        </is>
      </c>
      <c r="C46" s="22" t="inlineStr">
        <is>
          <t>Cajas / crédito</t>
        </is>
      </c>
      <c r="D46" s="22" t="inlineStr">
        <is>
          <t>Cooperativa de Ahorro y Crédito Coopeuch</t>
        </is>
      </c>
      <c r="E46" s="22" t="inlineStr">
        <is>
          <t>82.878.900-7</t>
        </is>
      </c>
      <c r="F46" s="22" t="inlineStr">
        <is>
          <t>oficinaprivacidaddedatos@coopeuch.cl</t>
        </is>
      </c>
      <c r="G46" s="22" t="n"/>
      <c r="H46" s="22" t="inlineStr">
        <is>
          <t>The policy grants a right of opposition to direct marketing and profiling, and lets members revoke consent. Requests go through a request on the website (no specific URL given) or other channels Coopeuch enables.</t>
        </is>
      </c>
      <c r="I46" s="22" t="inlineStr">
        <is>
          <t>Ayuda al socio https://www.coopeuch.cl/personas/ayuda-al-socio</t>
        </is>
      </c>
      <c r="J46" s="23" t="inlineStr">
        <is>
          <t>https://static.coopeuch.cl/media/UploadGeneral/file/POL_Privacidad_de_Datos_Socios_v1.1_2026_08_18.pdf</t>
        </is>
      </c>
      <c r="K46" s="22" t="inlineStr">
        <is>
          <t>Correo</t>
        </is>
      </c>
      <c r="L46" s="24" t="n"/>
      <c r="M46" s="25">
        <f>IF(L46="","",WORKDAY(L46,2,Feriados!$A$2:$A$60))</f>
        <v/>
      </c>
      <c r="N46" s="26" t="n"/>
      <c r="O46" s="24" t="n"/>
      <c r="P46" s="26" t="n"/>
      <c r="Q46" s="25">
        <f>IF(O46="","",WORKDAY(O46,7,Feriados!$A$2:$A$60))</f>
        <v/>
      </c>
      <c r="R46" s="26" t="n"/>
      <c r="S46" s="24" t="n"/>
      <c r="T46" s="22">
        <f>IF(AND(L46="",O46=""),"Por enviar",IF(R46="Sí",IF(S46="","Reportar incumplimiento","Incumplimiento reportado"),IF(AND(Q46&lt;&gt;"",TODAY()&gt;Q46),"Plazo vencido – verificar",IF(AND(M46&lt;&gt;"",TODAY()&gt;M46,N46&lt;&gt;"Sí"),"Correo sin respuesta","En plazo"))))</f>
        <v/>
      </c>
      <c r="U46" s="26" t="n"/>
    </row>
    <row r="47" ht="35.05" customHeight="1" s="17">
      <c r="A47" s="21" t="n">
        <v>46</v>
      </c>
      <c r="B47" s="22" t="inlineStr">
        <is>
          <t>Forum</t>
        </is>
      </c>
      <c r="C47" s="22" t="inlineStr">
        <is>
          <t>Cajas / crédito</t>
        </is>
      </c>
      <c r="D47" s="22" t="inlineStr">
        <is>
          <t>Forum Servicios Financieros S.A.</t>
        </is>
      </c>
      <c r="E47" s="22" t="inlineStr">
        <is>
          <t>96.678.790-2</t>
        </is>
      </c>
      <c r="F47" s="22" t="inlineStr">
        <is>
          <t>contacto@forum.cl</t>
        </is>
      </c>
      <c r="G47" s="23" t="inlineStr">
        <is>
          <t>https://centroayudaforum.custhelp.com/app/ask</t>
        </is>
      </c>
      <c r="H47" s="22" t="n"/>
      <c r="I47" s="22" t="inlineStr">
        <is>
          <t>Contact center 600 360 0077; Apoquindo 2929, Nivel -1, Las Condes</t>
        </is>
      </c>
      <c r="J47" s="23" t="inlineStr">
        <is>
          <t>https://forum.cl/politicas-de-privacidad/</t>
        </is>
      </c>
      <c r="K47" s="22" t="inlineStr">
        <is>
          <t>Correo</t>
        </is>
      </c>
      <c r="L47" s="24" t="n"/>
      <c r="M47" s="25">
        <f>IF(L47="","",WORKDAY(L47,2,Feriados!$A$2:$A$60))</f>
        <v/>
      </c>
      <c r="N47" s="26" t="n"/>
      <c r="O47" s="24" t="n"/>
      <c r="P47" s="26" t="n"/>
      <c r="Q47" s="25">
        <f>IF(O47="","",WORKDAY(O47,7,Feriados!$A$2:$A$60))</f>
        <v/>
      </c>
      <c r="R47" s="26" t="n"/>
      <c r="S47" s="24" t="n"/>
      <c r="T47" s="22">
        <f>IF(AND(L47="",O47=""),"Por enviar",IF(R47="Sí",IF(S47="","Reportar incumplimiento","Incumplimiento reportado"),IF(AND(Q47&lt;&gt;"",TODAY()&gt;Q47),"Plazo vencido – verificar",IF(AND(M47&lt;&gt;"",TODAY()&gt;M47,N47&lt;&gt;"Sí"),"Correo sin respuesta","En plazo"))))</f>
        <v/>
      </c>
      <c r="U47" s="26" t="n"/>
    </row>
    <row r="48" ht="46.25" customHeight="1" s="17">
      <c r="A48" s="21" t="n">
        <v>47</v>
      </c>
      <c r="B48" s="22" t="inlineStr">
        <is>
          <t>Enel Distribución Chile</t>
        </is>
      </c>
      <c r="C48" s="22" t="inlineStr">
        <is>
          <t>Servicios básicos</t>
        </is>
      </c>
      <c r="D48" s="22" t="inlineStr">
        <is>
          <t>Enel Distribución Chile S.A.</t>
        </is>
      </c>
      <c r="E48" s="22" t="inlineStr">
        <is>
          <t>96.800.570-7</t>
        </is>
      </c>
      <c r="F48" s="22" t="inlineStr">
        <is>
          <t>dpo.chile@enel.com</t>
        </is>
      </c>
      <c r="G48" s="22" t="n"/>
      <c r="H48" s="22" t="inlineStr">
        <is>
          <t>The policy (sec. 7.2) grants a right to object to direct marketing. No separate channel is given; requests go to the DPO email.</t>
        </is>
      </c>
      <c r="I48" s="22" t="inlineStr">
        <is>
          <t>Formulario de contacto https://www.enel.cl/es/clientes/servicios-en-linea/solicitud-contacto.html</t>
        </is>
      </c>
      <c r="J48" s="23" t="inlineStr">
        <is>
          <t>https://www.enel.cl/es/footer/politica-de-privacidad-distribucion.html</t>
        </is>
      </c>
      <c r="K48" s="22" t="inlineStr">
        <is>
          <t>Correo</t>
        </is>
      </c>
      <c r="L48" s="24" t="n"/>
      <c r="M48" s="25">
        <f>IF(L48="","",WORKDAY(L48,2,Feriados!$A$2:$A$60))</f>
        <v/>
      </c>
      <c r="N48" s="26" t="n"/>
      <c r="O48" s="24" t="n"/>
      <c r="P48" s="26" t="n"/>
      <c r="Q48" s="25">
        <f>IF(O48="","",WORKDAY(O48,7,Feriados!$A$2:$A$60))</f>
        <v/>
      </c>
      <c r="R48" s="26" t="n"/>
      <c r="S48" s="24" t="n"/>
      <c r="T48" s="22">
        <f>IF(AND(L48="",O48=""),"Por enviar",IF(R48="Sí",IF(S48="","Reportar incumplimiento","Incumplimiento reportado"),IF(AND(Q48&lt;&gt;"",TODAY()&gt;Q48),"Plazo vencido – verificar",IF(AND(M48&lt;&gt;"",TODAY()&gt;M48,N48&lt;&gt;"Sí"),"Correo sin respuesta","En plazo"))))</f>
        <v/>
      </c>
      <c r="U48" s="26" t="n"/>
    </row>
    <row r="49" ht="57.45" customHeight="1" s="17">
      <c r="A49" s="21" t="n">
        <v>48</v>
      </c>
      <c r="B49" s="22" t="inlineStr">
        <is>
          <t>Metrogas</t>
        </is>
      </c>
      <c r="C49" s="22" t="inlineStr">
        <is>
          <t>Servicios básicos</t>
        </is>
      </c>
      <c r="D49" s="22" t="inlineStr">
        <is>
          <t>Metrogas S.A.</t>
        </is>
      </c>
      <c r="E49" s="22" t="inlineStr">
        <is>
          <t>96.722.460-K</t>
        </is>
      </c>
      <c r="F49" s="22" t="inlineStr">
        <is>
          <t>privacidad@metrogas.cl</t>
        </is>
      </c>
      <c r="G49" s="22" t="n"/>
      <c r="H49" s="22" t="n"/>
      <c r="I49" s="22" t="inlineStr">
        <is>
          <t>Formulario de contacto https://www.centrodeayudametrogas.cl/contactenos</t>
        </is>
      </c>
      <c r="J49" s="23" t="inlineStr">
        <is>
          <t>https://www.metrogas.cl/politica-privacidad</t>
        </is>
      </c>
      <c r="K49" s="22" t="inlineStr">
        <is>
          <t>Correo</t>
        </is>
      </c>
      <c r="L49" s="24" t="n"/>
      <c r="M49" s="25">
        <f>IF(L49="","",WORKDAY(L49,2,Feriados!$A$2:$A$60))</f>
        <v/>
      </c>
      <c r="N49" s="26" t="n"/>
      <c r="O49" s="24" t="n"/>
      <c r="P49" s="26" t="n"/>
      <c r="Q49" s="25">
        <f>IF(O49="","",WORKDAY(O49,7,Feriados!$A$2:$A$60))</f>
        <v/>
      </c>
      <c r="R49" s="26" t="n"/>
      <c r="S49" s="24" t="n"/>
      <c r="T49" s="22">
        <f>IF(AND(L49="",O49=""),"Por enviar",IF(R49="Sí",IF(S49="","Reportar incumplimiento","Incumplimiento reportado"),IF(AND(Q49&lt;&gt;"",TODAY()&gt;Q49),"Plazo vencido – verificar",IF(AND(M49&lt;&gt;"",TODAY()&gt;M49,N49&lt;&gt;"Sí"),"Correo sin respuesta","En plazo"))))</f>
        <v/>
      </c>
      <c r="U49" s="26" t="inlineStr">
        <is>
          <t>Correo tomado de su política de privacidad; en una segunda revisión la página no lo mostró. Si rebota, usa el formulario de contacto de centrodeayudametrogas.cl.</t>
        </is>
      </c>
    </row>
    <row r="50" ht="46.25" customHeight="1" s="17">
      <c r="A50" s="21" t="n">
        <v>49</v>
      </c>
      <c r="B50" s="22" t="inlineStr">
        <is>
          <t>Isapre Colmena</t>
        </is>
      </c>
      <c r="C50" s="22" t="inlineStr">
        <is>
          <t>Isapre</t>
        </is>
      </c>
      <c r="D50" s="22" t="inlineStr">
        <is>
          <t>Colmena Golden Cross S.A.</t>
        </is>
      </c>
      <c r="E50" s="22" t="inlineStr">
        <is>
          <t>76.296.619-0</t>
        </is>
      </c>
      <c r="F50" s="22" t="n"/>
      <c r="G50" s="22" t="n"/>
      <c r="H50" s="22" t="n"/>
      <c r="I50" s="22" t="inlineStr">
        <is>
          <t>The privacy policy says to use the 'Contacto' section of www.colmena.cl. Phone: 2 3322 3000.</t>
        </is>
      </c>
      <c r="J50" s="23" t="inlineStr">
        <is>
          <t>https://www.colmena.cl/source/wp-content/uploads/2026/06/politica-privacidad-JUN26.pdf</t>
        </is>
      </c>
      <c r="K50" s="22" t="inlineStr">
        <is>
          <t>Canal alternativo</t>
        </is>
      </c>
      <c r="L50" s="24" t="n"/>
      <c r="M50" s="25">
        <f>IF(L50="","",WORKDAY(L50,2,Feriados!$A$2:$A$60))</f>
        <v/>
      </c>
      <c r="N50" s="26" t="n"/>
      <c r="O50" s="24" t="n"/>
      <c r="P50" s="26" t="n"/>
      <c r="Q50" s="25">
        <f>IF(O50="","",WORKDAY(O50,7,Feriados!$A$2:$A$60))</f>
        <v/>
      </c>
      <c r="R50" s="26" t="n"/>
      <c r="S50" s="24" t="n"/>
      <c r="T50" s="22">
        <f>IF(AND(L50="",O50=""),"Por enviar",IF(R50="Sí",IF(S50="","Reportar incumplimiento","Incumplimiento reportado"),IF(AND(Q50&lt;&gt;"",TODAY()&gt;Q50),"Plazo vencido – verificar",IF(AND(M50&lt;&gt;"",TODAY()&gt;M50,N50&lt;&gt;"Sí"),"Correo sin respuesta","En plazo"))))</f>
        <v/>
      </c>
      <c r="U50" s="26" t="n"/>
    </row>
    <row r="51" ht="57.45" customHeight="1" s="17">
      <c r="A51" s="21" t="n">
        <v>50</v>
      </c>
      <c r="B51" s="22" t="inlineStr">
        <is>
          <t>Isapre Consalud</t>
        </is>
      </c>
      <c r="C51" s="22" t="inlineStr">
        <is>
          <t>Isapre</t>
        </is>
      </c>
      <c r="D51" s="22" t="n"/>
      <c r="E51" s="22" t="n"/>
      <c r="F51" s="22" t="n"/>
      <c r="G51" s="22" t="n"/>
      <c r="H51" s="22" t="n"/>
      <c r="I51" s="22" t="inlineStr">
        <is>
          <t>The privacy page is still 'en preparación' and points to the contact page https://www.consalud.cl/contacto. Contact Center: 600 500 9000.</t>
        </is>
      </c>
      <c r="J51" s="23" t="inlineStr">
        <is>
          <t>https://www.consalud.cl/privacidad</t>
        </is>
      </c>
      <c r="K51" s="22" t="inlineStr">
        <is>
          <t>Canal alternativo</t>
        </is>
      </c>
      <c r="L51" s="24" t="n"/>
      <c r="M51" s="25">
        <f>IF(L51="","",WORKDAY(L51,2,Feriados!$A$2:$A$60))</f>
        <v/>
      </c>
      <c r="N51" s="26" t="n"/>
      <c r="O51" s="24" t="n"/>
      <c r="P51" s="26" t="n"/>
      <c r="Q51" s="25">
        <f>IF(O51="","",WORKDAY(O51,7,Feriados!$A$2:$A$60))</f>
        <v/>
      </c>
      <c r="R51" s="26" t="n"/>
      <c r="S51" s="24" t="n"/>
      <c r="T51" s="22">
        <f>IF(AND(L51="",O51=""),"Por enviar",IF(R51="Sí",IF(S51="","Reportar incumplimiento","Incumplimiento reportado"),IF(AND(Q51&lt;&gt;"",TODAY()&gt;Q51),"Plazo vencido – verificar",IF(AND(M51&lt;&gt;"",TODAY()&gt;M51,N51&lt;&gt;"Sí"),"Correo sin respuesta","En plazo"))))</f>
        <v/>
      </c>
      <c r="U51" s="26" t="n"/>
    </row>
    <row r="52"/>
    <row r="53" ht="15" customHeight="1" s="17">
      <c r="B53" s="27" t="inlineStr">
        <is>
          <t>Resumen</t>
        </is>
      </c>
    </row>
    <row r="54" ht="15" customHeight="1" s="17">
      <c r="C54" s="28" t="inlineStr">
        <is>
          <t>Por enviar</t>
        </is>
      </c>
      <c r="D54" s="28">
        <f>COUNTIF(T2:T51,"Por enviar")</f>
        <v/>
      </c>
    </row>
    <row r="55" ht="15" customHeight="1" s="17">
      <c r="C55" s="28" t="inlineStr">
        <is>
          <t>En plazo</t>
        </is>
      </c>
      <c r="D55" s="28">
        <f>COUNTIF(T2:T51,"En plazo")</f>
        <v/>
      </c>
    </row>
    <row r="56" ht="15" customHeight="1" s="17">
      <c r="C56" s="28" t="inlineStr">
        <is>
          <t>Correo sin respuesta</t>
        </is>
      </c>
      <c r="D56" s="28">
        <f>COUNTIF(T2:T51,"Correo sin respuesta")</f>
        <v/>
      </c>
    </row>
    <row r="57" ht="15" customHeight="1" s="17">
      <c r="C57" s="28" t="inlineStr">
        <is>
          <t>Plazo vencido – verificar</t>
        </is>
      </c>
      <c r="D57" s="28">
        <f>COUNTIF(T2:T51,"Plazo vencido – verificar")</f>
        <v/>
      </c>
    </row>
    <row r="58" ht="15" customHeight="1" s="17">
      <c r="C58" s="28" t="inlineStr">
        <is>
          <t>Reportar incumplimiento</t>
        </is>
      </c>
      <c r="D58" s="28">
        <f>COUNTIF(T2:T51,"Reportar incumplimiento")</f>
        <v/>
      </c>
    </row>
    <row r="59" ht="15" customHeight="1" s="17">
      <c r="C59" s="28" t="inlineStr">
        <is>
          <t>Con correo oficial</t>
        </is>
      </c>
      <c r="D59" s="28">
        <f>COUNTIF(K2:K51,"Correo")</f>
        <v/>
      </c>
    </row>
    <row r="60" ht="15" customHeight="1" s="17">
      <c r="C60" s="28" t="inlineStr">
        <is>
          <t>Solo formulario web</t>
        </is>
      </c>
      <c r="D60" s="28">
        <f>COUNTIF(K2:K51,"Formulario web")</f>
        <v/>
      </c>
    </row>
    <row r="61" ht="15" customHeight="1" s="17">
      <c r="C61" s="28" t="inlineStr">
        <is>
          <t>Solo canal alternativo</t>
        </is>
      </c>
      <c r="D61" s="28">
        <f>COUNTIF(K2:K51,"Canal alternativo")</f>
        <v/>
      </c>
    </row>
  </sheetData>
  <autoFilter ref="A1:U51"/>
  <conditionalFormatting sqref="T2:T51">
    <cfRule type="expression" rank="0" priority="2" equalAverage="0" aboveAverage="0" dxfId="8" text="" percent="0" bottom="0">
      <formula>LEFT($T2,7)="Reporta"</formula>
    </cfRule>
    <cfRule type="expression" rank="0" priority="3" equalAverage="0" aboveAverage="0" dxfId="9" text="" percent="0" bottom="0">
      <formula>OR(LEFT($T2,5)="Plazo",LEFT($T2,6)="Correo")</formula>
    </cfRule>
    <cfRule type="expression" rank="0" priority="4" equalAverage="0" aboveAverage="0" dxfId="10" text="" percent="0" bottom="0">
      <formula>$T2="En plazo"</formula>
    </cfRule>
  </conditionalFormatting>
  <conditionalFormatting sqref="K2:K51">
    <cfRule type="expression" rank="0" priority="5" equalAverage="0" aboveAverage="0" dxfId="9" text="" percent="0" bottom="0">
      <formula>$K2="Canal alternativo"</formula>
    </cfRule>
  </conditionalFormatting>
  <dataValidations count="1">
    <dataValidation sqref="N2:N51 R2:R51" showDropDown="0" showInputMessage="0" showErrorMessage="0" allowBlank="1" type="list" errorStyle="stop" operator="between">
      <formula1>"Sí,No"</formula1>
      <formula2>0</formula2>
    </dataValidation>
  </dataValidations>
  <hyperlinks>
    <hyperlink xmlns:r="http://schemas.openxmlformats.org/officeDocument/2006/relationships" ref="G2" display="https://denuncias.americamovil.com/" r:id="rId1"/>
    <hyperlink xmlns:r="http://schemas.openxmlformats.org/officeDocument/2006/relationships" ref="J2" display="https://www.clarochile.cl/portal/cl/recursos_contenido/pdf/1738265380882-politica-de-proteccion-de-datos-personalesclarovtr-2025.pdf" r:id="rId2"/>
    <hyperlink xmlns:r="http://schemas.openxmlformats.org/officeDocument/2006/relationships" ref="G3" display="https://denuncias.americamovil.com/" r:id="rId3"/>
    <hyperlink xmlns:r="http://schemas.openxmlformats.org/officeDocument/2006/relationships" ref="J3" display="https://www.clarochile.cl/portal/cl/recursos_contenido/pdf/1738265380882-politica-de-proteccion-de-datos-personalesclarovtr-2025.pdf" r:id="rId4"/>
    <hyperlink xmlns:r="http://schemas.openxmlformats.org/officeDocument/2006/relationships" ref="G4" display="https://legalmovistar.mvch.cl/" r:id="rId5"/>
    <hyperlink xmlns:r="http://schemas.openxmlformats.org/officeDocument/2006/relationships" ref="J4" display="https://ww2.movistar.cl/centro-de-transparencia/derechos.html" r:id="rId6"/>
    <hyperlink xmlns:r="http://schemas.openxmlformats.org/officeDocument/2006/relationships" ref="J5" display="https://entelconviene.entel.cl/media/entelconviene/terminosCondiciones/Politica-Privacidad-Clientes-Nov-2022.pdf" r:id="rId7"/>
    <hyperlink xmlns:r="http://schemas.openxmlformats.org/officeDocument/2006/relationships" ref="J6" display="https://www.wom.cl/politica-privacidad/" r:id="rId8"/>
    <hyperlink xmlns:r="http://schemas.openxmlformats.org/officeDocument/2006/relationships" ref="G7" display="https://www.tumundo.cl/wp-content/uploads/2025/06/FORMULARIO-EJERCICIO-DERECHOS-DATOS-PERSONALES.pdf" r:id="rId9"/>
    <hyperlink xmlns:r="http://schemas.openxmlformats.org/officeDocument/2006/relationships" ref="J7" display="https://www.tumundo.cl/wp-content/uploads/2025/06/Politica-de-privacidad-.pdf" r:id="rId10"/>
    <hyperlink xmlns:r="http://schemas.openxmlformats.org/officeDocument/2006/relationships" ref="J8" display="https://www.directvla.com/cl/politicas-de-privacidad" r:id="rId11"/>
    <hyperlink xmlns:r="http://schemas.openxmlformats.org/officeDocument/2006/relationships" ref="J9" display="https://www.gtd.cl/politica-de-privacidad-y-proteccion-de-datos-personales-2026" r:id="rId12"/>
    <hyperlink xmlns:r="http://schemas.openxmlformats.org/officeDocument/2006/relationships" ref="G10" display="https://www.rappi.cl/account/profile" r:id="rId13"/>
    <hyperlink xmlns:r="http://schemas.openxmlformats.org/officeDocument/2006/relationships" ref="J10" display="https://legal.rappi.com/chile/politica-de-privacidad/" r:id="rId14"/>
    <hyperlink xmlns:r="http://schemas.openxmlformats.org/officeDocument/2006/relationships" ref="J11" display="https://www.mercadopago.cl/privacidad/declaracion-privacidad/31199" r:id="rId15"/>
    <hyperlink xmlns:r="http://schemas.openxmlformats.org/officeDocument/2006/relationships" ref="J12" display="https://sitiospublicos.bancochile.cl/personas/politica-de-privacidad" r:id="rId16"/>
    <hyperlink xmlns:r="http://schemas.openxmlformats.org/officeDocument/2006/relationships" ref="J13" display="https://www.bancoestado.cl/content/dam/bancoestado-public/pdf/contratos-productos/cuentas/Cuenta_Corriente_Digital.pdf" r:id="rId17"/>
    <hyperlink xmlns:r="http://schemas.openxmlformats.org/officeDocument/2006/relationships" ref="J14" display="https://banco.santander.cl/personas/politica-de-privacidad-portal-santander" r:id="rId18"/>
    <hyperlink xmlns:r="http://schemas.openxmlformats.org/officeDocument/2006/relationships" ref="J15" display="https://www.bci.cl/corporativo/politicas-y-normas/politicas-de-privacidad" r:id="rId19"/>
    <hyperlink xmlns:r="http://schemas.openxmlformats.org/officeDocument/2006/relationships" ref="J16" display="https://www.scotiabankchile.cl/Personas/politica-de-privacidad" r:id="rId20"/>
    <hyperlink xmlns:r="http://schemas.openxmlformats.org/officeDocument/2006/relationships" ref="J17" display="https://www.itau.cl/personas/terminos-de-uso-y-politicas-de-privacidad" r:id="rId21"/>
    <hyperlink xmlns:r="http://schemas.openxmlformats.org/officeDocument/2006/relationships" ref="J18" display="https://banco.bice.cl/personas/politica-de-privacidad" r:id="rId22"/>
    <hyperlink xmlns:r="http://schemas.openxmlformats.org/officeDocument/2006/relationships" ref="J19" display="https://personas.bancosecurity.cl/informacion-al-cliente/politica-de-privacidad" r:id="rId23"/>
    <hyperlink xmlns:r="http://schemas.openxmlformats.org/officeDocument/2006/relationships" ref="J20" display="https://www.bancofalabella.cl/politicas-privacidad" r:id="rId24"/>
    <hyperlink xmlns:r="http://schemas.openxmlformats.org/officeDocument/2006/relationships" ref="J21" display="https://www.bancoripley.cl/pdf/politica-de-privacidad-banco-y-filiales.pdf" r:id="rId25"/>
    <hyperlink xmlns:r="http://schemas.openxmlformats.org/officeDocument/2006/relationships" ref="J22" display="https://www.cmrpuntos.cl/como-cuidamos-tus-datos" r:id="rId26"/>
    <hyperlink xmlns:r="http://schemas.openxmlformats.org/officeDocument/2006/relationships" ref="J23" display="https://staticresourcesfiles.blob.core.windows.net/content/web/static/906860754575773-6838258899856127-declaracion_de_privacidad_y_tratamiento_de_datos_personales_cat.pdf" r:id="rId27"/>
    <hyperlink xmlns:r="http://schemas.openxmlformats.org/officeDocument/2006/relationships" ref="J24" display="https://www.bancoripley.cl/pdf/politica-de-privacidad-banco-y-filiales.pdf" r:id="rId28"/>
    <hyperlink xmlns:r="http://schemas.openxmlformats.org/officeDocument/2006/relationships" ref="J25" display="https://www.liderbci.cl/politica-de-privacidad" r:id="rId29"/>
    <hyperlink xmlns:r="http://schemas.openxmlformats.org/officeDocument/2006/relationships" ref="J26" display="https://www.abc.cl/terminos-y-condiciones.html" r:id="rId30"/>
    <hyperlink xmlns:r="http://schemas.openxmlformats.org/officeDocument/2006/relationships" ref="J27" display="https://tarjetahites.cl/politicas-privacidad-app/" r:id="rId31"/>
    <hyperlink xmlns:r="http://schemas.openxmlformats.org/officeDocument/2006/relationships" ref="J28" display="https://www.abc.cl/terminos-y-condiciones.html" r:id="rId32"/>
    <hyperlink xmlns:r="http://schemas.openxmlformats.org/officeDocument/2006/relationships" ref="J29" display="https://www.falabella.com/falabella-cl/page/politica-privacidad-falabella-retail" r:id="rId33"/>
    <hyperlink xmlns:r="http://schemas.openxmlformats.org/officeDocument/2006/relationships" ref="J30" display="https://www.paris.cl/informaciones-legales/politica-privacidad-de-datos/" r:id="rId34"/>
    <hyperlink xmlns:r="http://schemas.openxmlformats.org/officeDocument/2006/relationships" ref="J31" display="https://www.lider.cl/ayuda/articulo/politicas-de-privacidad/b7331045956d4b5298f1436343afebdd" r:id="rId35"/>
    <hyperlink xmlns:r="http://schemas.openxmlformats.org/officeDocument/2006/relationships" ref="J32" display="https://bnpparibascardif.cl/wp-content/uploads/sites/15/2024/12/Aviso-de-privacidad.pdf" r:id="rId36"/>
    <hyperlink xmlns:r="http://schemas.openxmlformats.org/officeDocument/2006/relationships" ref="G33" display="https://w3.metlife.cl/content/dam/metlifecom/cl/pdfs/derechos-arcc/FORMULARIO-DE-SOLICITUD-ARCC-WEB.pdf" r:id="rId37"/>
    <hyperlink xmlns:r="http://schemas.openxmlformats.org/officeDocument/2006/relationships" ref="J33" display="https://w3.metlife.cl/derechos-arcc" r:id="rId38"/>
    <hyperlink xmlns:r="http://schemas.openxmlformats.org/officeDocument/2006/relationships" ref="G34" display="https://privacyportal-br.onetrust.com/webform/34d4a9e1-b824-41bf-b78b-1bd88cabf2d6/bd522870-69b6-4460-8121-e766f09d00d4" r:id="rId39"/>
    <hyperlink xmlns:r="http://schemas.openxmlformats.org/officeDocument/2006/relationships" ref="J34" display="https://www.bciseguros.cl/especiales/politicas-privacidad-uso-de-los-datos/" r:id="rId40"/>
    <hyperlink xmlns:r="http://schemas.openxmlformats.org/officeDocument/2006/relationships" ref="J35" display="https://sitio.consorcio.cl/comunicados/politica-de-privacidad" r:id="rId41"/>
    <hyperlink xmlns:r="http://schemas.openxmlformats.org/officeDocument/2006/relationships" ref="J36" display="https://www.zurich.cl/conocenos/politicas-de-privacidad" r:id="rId42"/>
    <hyperlink xmlns:r="http://schemas.openxmlformats.org/officeDocument/2006/relationships" ref="J37" display="https://www.chubb.com/cl-es/bases-legales/aviso-de-proteccion-de-datos.html" r:id="rId43"/>
    <hyperlink xmlns:r="http://schemas.openxmlformats.org/officeDocument/2006/relationships" ref="J38" display="https://www.hdi.cl/informacion-util" r:id="rId44"/>
    <hyperlink xmlns:r="http://schemas.openxmlformats.org/officeDocument/2006/relationships" ref="J39" display="https://www.mapfre.cl/privacidad/" r:id="rId45"/>
    <hyperlink xmlns:r="http://schemas.openxmlformats.org/officeDocument/2006/relationships" ref="J40" display="https://nueva.afpmodelo.cl/Politicas/" r:id="rId46"/>
    <hyperlink xmlns:r="http://schemas.openxmlformats.org/officeDocument/2006/relationships" ref="J41" display="https://www.uno.cl/ayuda/terminosdeusoapp" r:id="rId47"/>
    <hyperlink xmlns:r="http://schemas.openxmlformats.org/officeDocument/2006/relationships" ref="G42" display="https://miportal.cajalosandes.cl/redireccion-buzon-login-contexto-aviso-privacidad" r:id="rId48"/>
    <hyperlink xmlns:r="http://schemas.openxmlformats.org/officeDocument/2006/relationships" ref="J42" display="https://somosandes.cajalosandes.cl/somos/transparencia" r:id="rId49"/>
    <hyperlink xmlns:r="http://schemas.openxmlformats.org/officeDocument/2006/relationships" ref="J43" display="https://formcontacto.laaraucana.cl/" r:id="rId50"/>
    <hyperlink xmlns:r="http://schemas.openxmlformats.org/officeDocument/2006/relationships" ref="J44" display="https://www.caja18.cl/politica-de-privacidad/" r:id="rId51"/>
    <hyperlink xmlns:r="http://schemas.openxmlformats.org/officeDocument/2006/relationships" ref="J45" display="https://www.losheroes.cl/trabajadores/nuestra-empresa/politicas-de-privacidad/" r:id="rId52"/>
    <hyperlink xmlns:r="http://schemas.openxmlformats.org/officeDocument/2006/relationships" ref="J46" display="https://static.coopeuch.cl/media/UploadGeneral/file/POL_Privacidad_de_Datos_Socios_v1.1_2026_08_18.pdf" r:id="rId53"/>
    <hyperlink xmlns:r="http://schemas.openxmlformats.org/officeDocument/2006/relationships" ref="G47" display="https://centroayudaforum.custhelp.com/app/ask" r:id="rId54"/>
    <hyperlink xmlns:r="http://schemas.openxmlformats.org/officeDocument/2006/relationships" ref="J47" display="https://forum.cl/politicas-de-privacidad/" r:id="rId55"/>
    <hyperlink xmlns:r="http://schemas.openxmlformats.org/officeDocument/2006/relationships" ref="J48" display="https://www.enel.cl/es/footer/politica-de-privacidad-distribucion.html" r:id="rId56"/>
    <hyperlink xmlns:r="http://schemas.openxmlformats.org/officeDocument/2006/relationships" ref="J49" display="https://www.metrogas.cl/politica-privacidad" r:id="rId57"/>
    <hyperlink xmlns:r="http://schemas.openxmlformats.org/officeDocument/2006/relationships" ref="J50" display="https://www.colmena.cl/source/wp-content/uploads/2026/06/politica-privacidad-JUN26.pdf" r:id="rId58"/>
    <hyperlink xmlns:r="http://schemas.openxmlformats.org/officeDocument/2006/relationships" ref="J51" display="https://www.consalud.cl/privacidad" r:id="rId59"/>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6" min="1" max="1"/>
    <col width="45" customWidth="1" style="16" min="2" max="2"/>
  </cols>
  <sheetData>
    <row r="1" ht="15" customHeight="1" s="17">
      <c r="A1" s="29" t="inlineStr">
        <is>
          <t>Fecha</t>
        </is>
      </c>
      <c r="B1" s="29" t="inlineStr">
        <is>
          <t>Feriado</t>
        </is>
      </c>
      <c r="D1" s="30" t="inlineStr">
        <is>
          <t>Fuente 2027: calendariochile.com (feriados nacionales). Agrega feriados nuevos al final de la lista, dentro del rango A2:A60.</t>
        </is>
      </c>
    </row>
    <row r="2" ht="15" customHeight="1" s="17">
      <c r="A2" s="31" t="n">
        <v>46326</v>
      </c>
      <c r="B2" s="32" t="inlineStr">
        <is>
          <t>Día de las Iglesias Evangélicas y Protestantes</t>
        </is>
      </c>
    </row>
    <row r="3" ht="15" customHeight="1" s="17">
      <c r="A3" s="31" t="n">
        <v>46327</v>
      </c>
      <c r="B3" s="32" t="inlineStr">
        <is>
          <t>Día de Todos los Santos</t>
        </is>
      </c>
    </row>
    <row r="4" ht="15" customHeight="1" s="17">
      <c r="A4" s="31" t="n">
        <v>46364</v>
      </c>
      <c r="B4" s="32" t="inlineStr">
        <is>
          <t>Inmaculada Concepción</t>
        </is>
      </c>
    </row>
    <row r="5" ht="15" customHeight="1" s="17">
      <c r="A5" s="31" t="n">
        <v>46381</v>
      </c>
      <c r="B5" s="32" t="inlineStr">
        <is>
          <t>Navidad</t>
        </is>
      </c>
    </row>
    <row r="6" ht="15" customHeight="1" s="17">
      <c r="A6" s="31" t="n">
        <v>46388</v>
      </c>
      <c r="B6" s="32" t="inlineStr">
        <is>
          <t>Año Nuevo</t>
        </is>
      </c>
    </row>
    <row r="7" ht="15" customHeight="1" s="17">
      <c r="A7" s="31" t="n">
        <v>46472</v>
      </c>
      <c r="B7" s="32" t="inlineStr">
        <is>
          <t>Viernes Santo</t>
        </is>
      </c>
    </row>
    <row r="8" ht="15" customHeight="1" s="17">
      <c r="A8" s="31" t="n">
        <v>46473</v>
      </c>
      <c r="B8" s="32" t="inlineStr">
        <is>
          <t>Sábado Santo</t>
        </is>
      </c>
    </row>
    <row r="9" ht="15" customHeight="1" s="17">
      <c r="A9" s="31" t="n">
        <v>46508</v>
      </c>
      <c r="B9" s="32" t="inlineStr">
        <is>
          <t>Día del Trabajo</t>
        </is>
      </c>
    </row>
    <row r="10" ht="15" customHeight="1" s="17">
      <c r="A10" s="31" t="n">
        <v>46528</v>
      </c>
      <c r="B10" s="32" t="inlineStr">
        <is>
          <t>Glorias Navales</t>
        </is>
      </c>
    </row>
    <row r="11" ht="15" customHeight="1" s="17">
      <c r="A11" s="31" t="n">
        <v>46558</v>
      </c>
      <c r="B11" s="32" t="inlineStr">
        <is>
          <t>Día Nacional de los Pueblos Indígenas</t>
        </is>
      </c>
    </row>
    <row r="12" ht="15" customHeight="1" s="17">
      <c r="A12" s="31" t="n">
        <v>46566</v>
      </c>
      <c r="B12" s="32" t="inlineStr">
        <is>
          <t>San Pedro y San Pablo</t>
        </is>
      </c>
    </row>
    <row r="13" ht="15" customHeight="1" s="17">
      <c r="A13" s="31" t="n">
        <v>46584</v>
      </c>
      <c r="B13" s="32" t="inlineStr">
        <is>
          <t>Virgen del Carmen</t>
        </is>
      </c>
    </row>
    <row r="14" ht="15" customHeight="1" s="17">
      <c r="A14" s="31" t="n">
        <v>46614</v>
      </c>
      <c r="B14" s="32" t="inlineStr">
        <is>
          <t>Asunción de la Virgen</t>
        </is>
      </c>
    </row>
    <row r="15" ht="15" customHeight="1" s="17">
      <c r="A15" s="31" t="n">
        <v>46648</v>
      </c>
      <c r="B15" s="32" t="inlineStr">
        <is>
          <t>Fiestas Patrias</t>
        </is>
      </c>
    </row>
    <row r="16" ht="15" customHeight="1" s="17">
      <c r="A16" s="31" t="n">
        <v>46649</v>
      </c>
      <c r="B16" s="32" t="inlineStr">
        <is>
          <t>Glorias del Ejército</t>
        </is>
      </c>
    </row>
    <row r="17" ht="15" customHeight="1" s="17">
      <c r="A17" s="31" t="n">
        <v>46671</v>
      </c>
      <c r="B17" s="32" t="inlineStr">
        <is>
          <t>Encuentro de Dos Mundos</t>
        </is>
      </c>
    </row>
    <row r="18" ht="15" customHeight="1" s="17">
      <c r="A18" s="31" t="n">
        <v>46691</v>
      </c>
      <c r="B18" s="32" t="inlineStr">
        <is>
          <t>Iglesias Evangélicas y Protestantes</t>
        </is>
      </c>
    </row>
    <row r="19" ht="15" customHeight="1" s="17">
      <c r="A19" s="31" t="n">
        <v>46692</v>
      </c>
      <c r="B19" s="32" t="inlineStr">
        <is>
          <t>Todos los Santos</t>
        </is>
      </c>
    </row>
    <row r="20" ht="15" customHeight="1" s="17">
      <c r="A20" s="31" t="n">
        <v>46729</v>
      </c>
      <c r="B20" s="32" t="inlineStr">
        <is>
          <t>Inmaculada Concepción</t>
        </is>
      </c>
    </row>
    <row r="21" ht="15" customHeight="1" s="17">
      <c r="A21" s="31" t="n">
        <v>46746</v>
      </c>
      <c r="B21" s="32" t="inlineStr">
        <is>
          <t>Navidad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antispam-chile</dc:creator>
  <dc:title xmlns:dc="http://purl.org/dc/elements/1.1/">Tracker No Molestar – 50 empresas</dc:title>
  <dc:language xmlns:dc="http://purl.org/dc/elements/1.1/">en-US</dc:language>
  <dcterms:created xmlns:dcterms="http://purl.org/dc/terms/" xmlns:xsi="http://www.w3.org/2001/XMLSchema-instance" xsi:type="dcterms:W3CDTF">2026-10-23T00:29:57Z</dcterms:created>
  <dcterms:modified xmlns:dcterms="http://purl.org/dc/terms/" xmlns:xsi="http://www.w3.org/2001/XMLSchema-instance" xsi:type="dcterms:W3CDTF">2026-10-23T17:29:28Z</dcterms:modified>
  <cp:revision>0</cp:revision>
</cp:coreProperties>
</file>